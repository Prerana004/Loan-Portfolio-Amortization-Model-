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CBF63D-0E73-40CB-8E5E-6432D1B77832}" xr6:coauthVersionLast="47" xr6:coauthVersionMax="47" xr10:uidLastSave="{00000000-0000-0000-0000-000000000000}"/>
  <bookViews>
    <workbookView xWindow="-108" yWindow="-108" windowWidth="23256" windowHeight="12456" activeTab="5" xr2:uid="{95123799-41BC-D144-8B1A-9C609A888E1E}"/>
  </bookViews>
  <sheets>
    <sheet name="Dashboard" sheetId="3" r:id="rId1"/>
    <sheet name="Assumptions" sheetId="7" r:id="rId2"/>
    <sheet name="Amortization Table" sheetId="1" r:id="rId3"/>
    <sheet name="Sensitivity Analysis" sheetId="6" r:id="rId4"/>
    <sheet name="Cash Flow" sheetId="5" r:id="rId5"/>
    <sheet name="Helper" sheetId="2" r:id="rId6"/>
  </sheets>
  <definedNames>
    <definedName name="APR_TAEG">'Cash Flow'!$C$6</definedName>
    <definedName name="discountRate">Assumptions!$G$13</definedName>
    <definedName name="duration">Assumptions!$G$11</definedName>
    <definedName name="EMI">Helper!$E$5</definedName>
    <definedName name="insuranceDue">Helper!$E$13</definedName>
    <definedName name="insurancePaid">Helper!$E$12</definedName>
    <definedName name="insurancePerMonth">Assumptions!$G$14</definedName>
    <definedName name="interestDue">Helper!$E$10</definedName>
    <definedName name="interestPaid">Helper!$E$9</definedName>
    <definedName name="loanDisbursementDate">Assumptions!$G$15</definedName>
    <definedName name="loanInterestRate">Assumptions!$G$12</definedName>
    <definedName name="NPV">'Cash Flow'!$C$7</definedName>
    <definedName name="principle">Assumptions!$G$9</definedName>
    <definedName name="principleDue">Helper!$E$7</definedName>
    <definedName name="principlePaid">Helper!$E$6</definedName>
    <definedName name="projectName">Dashboard!$B$2</definedName>
    <definedName name="startDate">Assumptions!$G$16</definedName>
    <definedName name="totalInsurance">Helper!$E$11</definedName>
    <definedName name="totalInterestPayable">Helper!$E$8</definedName>
    <definedName name="totalPayback">Helper!$E$14</definedName>
    <definedName name="upfrontFee">Assumptions!$G$10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2" i="5" l="1" a="1"/>
  <c r="C312" i="5" s="1" a="1"/>
  <c r="B313" i="5" a="1"/>
  <c r="C313" i="5" s="1" a="1"/>
  <c r="B314" i="5" a="1"/>
  <c r="C314" i="5" s="1" a="1"/>
  <c r="B315" i="5" a="1"/>
  <c r="C315" i="5" s="1" a="1"/>
  <c r="B316" i="5" a="1"/>
  <c r="C316" i="5" s="1" a="1"/>
  <c r="B317" i="5" a="1"/>
  <c r="C317" i="5" s="1" a="1"/>
  <c r="B318" i="5" a="1"/>
  <c r="C318" i="5" s="1" a="1"/>
  <c r="B319" i="5" a="1"/>
  <c r="C319" i="5" s="1" a="1"/>
  <c r="B320" i="5" a="1"/>
  <c r="C320" i="5" s="1" a="1"/>
  <c r="B321" i="5" a="1"/>
  <c r="C321" i="5" s="1" a="1"/>
  <c r="B322" i="5" a="1"/>
  <c r="C322" i="5" s="1" a="1"/>
  <c r="B323" i="5" a="1"/>
  <c r="C323" i="5" s="1" a="1"/>
  <c r="B324" i="5" a="1"/>
  <c r="C324" i="5" s="1" a="1"/>
  <c r="B325" i="5" a="1"/>
  <c r="C325" i="5" s="1" a="1"/>
  <c r="B326" i="5" a="1"/>
  <c r="C326" i="5" s="1" a="1"/>
  <c r="B327" i="5" a="1"/>
  <c r="C327" i="5" s="1" a="1"/>
  <c r="B328" i="5" a="1"/>
  <c r="C328" i="5" s="1" a="1"/>
  <c r="B329" i="5" a="1"/>
  <c r="C329" i="5" s="1" a="1"/>
  <c r="B330" i="5" a="1"/>
  <c r="C330" i="5" s="1" a="1"/>
  <c r="B331" i="5" a="1"/>
  <c r="C331" i="5" s="1" a="1"/>
  <c r="B332" i="5" a="1"/>
  <c r="C332" i="5" s="1" a="1"/>
  <c r="B333" i="5" a="1"/>
  <c r="C333" i="5" s="1" a="1"/>
  <c r="B334" i="5" a="1"/>
  <c r="C334" i="5" s="1" a="1"/>
  <c r="B335" i="5" a="1"/>
  <c r="C335" i="5" s="1" a="1"/>
  <c r="B336" i="5" a="1"/>
  <c r="C336" i="5" s="1" a="1"/>
  <c r="B337" i="5" a="1"/>
  <c r="C337" i="5" s="1" a="1"/>
  <c r="B338" i="5" a="1"/>
  <c r="C338" i="5" s="1" a="1"/>
  <c r="B339" i="5" a="1"/>
  <c r="C339" i="5" s="1" a="1"/>
  <c r="B340" i="5" a="1"/>
  <c r="C340" i="5" s="1" a="1"/>
  <c r="B341" i="5" a="1"/>
  <c r="C341" i="5" s="1" a="1"/>
  <c r="B342" i="5" a="1"/>
  <c r="C342" i="5" s="1" a="1"/>
  <c r="B343" i="5" a="1"/>
  <c r="C343" i="5" s="1" a="1"/>
  <c r="B344" i="5" a="1"/>
  <c r="C344" i="5" s="1" a="1"/>
  <c r="B345" i="5" a="1"/>
  <c r="C345" i="5" s="1" a="1"/>
  <c r="B346" i="5" a="1"/>
  <c r="C346" i="5" s="1" a="1"/>
  <c r="B347" i="5" a="1"/>
  <c r="C347" i="5" s="1" a="1"/>
  <c r="B348" i="5" a="1"/>
  <c r="C348" i="5" s="1" a="1"/>
  <c r="B349" i="5" a="1"/>
  <c r="C349" i="5" s="1" a="1"/>
  <c r="B350" i="5" a="1"/>
  <c r="C350" i="5" s="1" a="1"/>
  <c r="B351" i="5" a="1"/>
  <c r="C351" i="5" s="1" a="1"/>
  <c r="B352" i="5" a="1"/>
  <c r="C352" i="5" s="1" a="1"/>
  <c r="B353" i="5" a="1"/>
  <c r="C353" i="5" s="1" a="1"/>
  <c r="B354" i="5" a="1"/>
  <c r="C354" i="5" s="1" a="1"/>
  <c r="B355" i="5" a="1"/>
  <c r="C355" i="5" s="1" a="1"/>
  <c r="B356" i="5" a="1"/>
  <c r="C356" i="5" s="1" a="1"/>
  <c r="B357" i="5" a="1"/>
  <c r="C357" i="5" s="1" a="1"/>
  <c r="B358" i="5" a="1"/>
  <c r="C358" i="5" s="1" a="1"/>
  <c r="B359" i="5" a="1"/>
  <c r="C359" i="5" s="1" a="1"/>
  <c r="B360" i="5" a="1"/>
  <c r="C360" i="5" s="1" a="1"/>
  <c r="B361" i="5" a="1"/>
  <c r="C361" i="5" s="1" a="1"/>
  <c r="B362" i="5" a="1"/>
  <c r="C362" i="5" s="1" a="1"/>
  <c r="B363" i="5" a="1"/>
  <c r="C363" i="5" s="1" a="1"/>
  <c r="B364" i="5" a="1"/>
  <c r="C364" i="5" a="1"/>
  <c r="B365" i="5" a="1"/>
  <c r="C365" i="5" s="1" a="1"/>
  <c r="B366" i="5" a="1"/>
  <c r="C366" i="5" s="1" a="1"/>
  <c r="B367" i="5" a="1"/>
  <c r="C367" i="5" s="1" a="1"/>
  <c r="B368" i="5" a="1"/>
  <c r="C368" i="5" s="1" a="1"/>
  <c r="B369" i="5" a="1"/>
  <c r="C369" i="5" s="1" a="1"/>
  <c r="B370" i="5" a="1"/>
  <c r="C370" i="5" s="1" a="1"/>
  <c r="B371" i="5" a="1"/>
  <c r="C371" i="5" s="1" a="1"/>
  <c r="B372" i="5" a="1"/>
  <c r="C372" i="5" s="1" a="1"/>
  <c r="B373" i="5" a="1"/>
  <c r="C373" i="5" s="1" a="1"/>
  <c r="B374" i="5" a="1"/>
  <c r="C374" i="5" s="1" a="1"/>
  <c r="B375" i="5" a="1"/>
  <c r="C375" i="5" s="1" a="1"/>
  <c r="B376" i="5" a="1"/>
  <c r="C376" i="5" a="1"/>
  <c r="B377" i="5" a="1"/>
  <c r="C377" i="5" s="1" a="1"/>
  <c r="B378" i="5" a="1"/>
  <c r="C378" i="5" s="1" a="1"/>
  <c r="B379" i="5" a="1"/>
  <c r="C379" i="5" s="1" a="1"/>
  <c r="B380" i="5" a="1"/>
  <c r="C380" i="5" s="1" a="1"/>
  <c r="B381" i="5" a="1"/>
  <c r="C381" i="5" s="1" a="1"/>
  <c r="B382" i="5" a="1"/>
  <c r="C382" i="5" s="1" a="1"/>
  <c r="B383" i="5" a="1"/>
  <c r="C383" i="5" s="1" a="1"/>
  <c r="B384" i="5" a="1"/>
  <c r="C384" i="5" a="1"/>
  <c r="B385" i="5" a="1"/>
  <c r="C385" i="5" s="1" a="1"/>
  <c r="B386" i="5" a="1"/>
  <c r="C386" i="5" s="1" a="1"/>
  <c r="B387" i="5" a="1"/>
  <c r="C387" i="5" s="1" a="1"/>
  <c r="B388" i="5" a="1"/>
  <c r="C388" i="5" s="1" a="1"/>
  <c r="B389" i="5" a="1"/>
  <c r="C389" i="5" s="1" a="1"/>
  <c r="B390" i="5" a="1"/>
  <c r="C390" i="5" s="1" a="1"/>
  <c r="B391" i="5" a="1"/>
  <c r="C391" i="5" s="1" a="1"/>
  <c r="B392" i="5" a="1"/>
  <c r="C392" i="5" s="1" a="1"/>
  <c r="B393" i="5" a="1"/>
  <c r="C393" i="5" s="1" a="1"/>
  <c r="B394" i="5" a="1"/>
  <c r="C394" i="5" s="1" a="1"/>
  <c r="B395" i="5" a="1"/>
  <c r="C395" i="5" s="1" a="1"/>
  <c r="B396" i="5" a="1"/>
  <c r="C396" i="5" s="1" a="1"/>
  <c r="B397" i="5" a="1"/>
  <c r="C397" i="5" s="1" a="1"/>
  <c r="B398" i="5" a="1"/>
  <c r="C398" i="5" s="1" a="1"/>
  <c r="B399" i="5" a="1"/>
  <c r="C399" i="5" s="1" a="1"/>
  <c r="B400" i="5" a="1"/>
  <c r="C400" i="5" s="1" a="1"/>
  <c r="B401" i="5" a="1"/>
  <c r="C401" i="5" s="1" a="1"/>
  <c r="B402" i="5" a="1"/>
  <c r="C402" i="5" s="1" a="1"/>
  <c r="B403" i="5" a="1"/>
  <c r="C403" i="5" s="1" a="1"/>
  <c r="B404" i="5" a="1"/>
  <c r="C404" i="5" s="1" a="1"/>
  <c r="B405" i="5" a="1"/>
  <c r="C405" i="5" s="1" a="1"/>
  <c r="B406" i="5" a="1"/>
  <c r="C406" i="5" s="1" a="1"/>
  <c r="B407" i="5" a="1"/>
  <c r="C407" i="5" s="1" a="1"/>
  <c r="B408" i="5" a="1"/>
  <c r="C408" i="5" s="1" a="1"/>
  <c r="B409" i="5" a="1"/>
  <c r="C409" i="5" s="1" a="1"/>
  <c r="B410" i="5" a="1"/>
  <c r="C410" i="5" s="1" a="1"/>
  <c r="B411" i="5" a="1"/>
  <c r="C411" i="5" s="1" a="1"/>
  <c r="B412" i="5" a="1"/>
  <c r="C412" i="5" s="1" a="1"/>
  <c r="B413" i="5" a="1"/>
  <c r="C413" i="5" s="1" a="1"/>
  <c r="B414" i="5" a="1"/>
  <c r="C414" i="5" s="1" a="1"/>
  <c r="B415" i="5" a="1"/>
  <c r="C415" i="5" s="1" a="1"/>
  <c r="B416" i="5" a="1"/>
  <c r="C416" i="5" s="1" a="1"/>
  <c r="B417" i="5" a="1"/>
  <c r="C417" i="5" s="1" a="1"/>
  <c r="B418" i="5" a="1"/>
  <c r="C418" i="5" s="1" a="1"/>
  <c r="B419" i="5" a="1"/>
  <c r="C419" i="5" s="1" a="1"/>
  <c r="B420" i="5" a="1"/>
  <c r="C420" i="5" s="1" a="1"/>
  <c r="B421" i="5" a="1"/>
  <c r="C421" i="5" s="1" a="1"/>
  <c r="B422" i="5" a="1"/>
  <c r="C422" i="5" s="1" a="1"/>
  <c r="B423" i="5" a="1"/>
  <c r="C423" i="5" s="1" a="1"/>
  <c r="B424" i="5" a="1"/>
  <c r="C424" i="5" s="1" a="1"/>
  <c r="B425" i="5" a="1"/>
  <c r="C425" i="5" s="1" a="1"/>
  <c r="B426" i="5" a="1"/>
  <c r="C426" i="5" s="1" a="1"/>
  <c r="B427" i="5" a="1"/>
  <c r="C427" i="5" s="1" a="1"/>
  <c r="B428" i="5" a="1"/>
  <c r="C428" i="5" s="1" a="1"/>
  <c r="B429" i="5" a="1"/>
  <c r="C429" i="5" s="1" a="1"/>
  <c r="B430" i="5" a="1"/>
  <c r="C430" i="5" s="1" a="1"/>
  <c r="B431" i="5" a="1"/>
  <c r="C431" i="5" s="1" a="1"/>
  <c r="B432" i="5" a="1"/>
  <c r="C432" i="5" s="1" a="1"/>
  <c r="B433" i="5" a="1"/>
  <c r="C433" i="5" s="1" a="1"/>
  <c r="B434" i="5" a="1"/>
  <c r="C434" i="5" s="1" a="1"/>
  <c r="B435" i="5" a="1"/>
  <c r="C435" i="5" s="1" a="1"/>
  <c r="B436" i="5" a="1"/>
  <c r="C436" i="5" s="1" a="1"/>
  <c r="B437" i="5" a="1"/>
  <c r="C437" i="5" s="1" a="1"/>
  <c r="B438" i="5" a="1"/>
  <c r="C438" i="5" s="1" a="1"/>
  <c r="B439" i="5" a="1"/>
  <c r="C439" i="5" s="1" a="1"/>
  <c r="B440" i="5" a="1"/>
  <c r="C440" i="5" s="1" a="1"/>
  <c r="B441" i="5" a="1"/>
  <c r="C441" i="5" s="1" a="1"/>
  <c r="B442" i="5" a="1"/>
  <c r="C442" i="5" s="1" a="1"/>
  <c r="B443" i="5" a="1"/>
  <c r="C443" i="5" s="1" a="1"/>
  <c r="B444" i="5" a="1"/>
  <c r="C444" i="5" s="1" a="1"/>
  <c r="B445" i="5" a="1"/>
  <c r="C445" i="5" s="1" a="1"/>
  <c r="B446" i="5" a="1"/>
  <c r="C446" i="5" s="1" a="1"/>
  <c r="B447" i="5" a="1"/>
  <c r="C447" i="5" s="1" a="1"/>
  <c r="B448" i="5" a="1"/>
  <c r="C448" i="5" s="1" a="1"/>
  <c r="B449" i="5" a="1"/>
  <c r="C449" i="5" s="1" a="1"/>
  <c r="B450" i="5" a="1"/>
  <c r="C450" i="5" s="1" a="1"/>
  <c r="B451" i="5" a="1"/>
  <c r="C451" i="5" s="1" a="1"/>
  <c r="B452" i="5" a="1"/>
  <c r="C452" i="5" s="1" a="1"/>
  <c r="B453" i="5" a="1"/>
  <c r="C453" i="5" s="1" a="1"/>
  <c r="B454" i="5" a="1"/>
  <c r="C454" i="5" s="1" a="1"/>
  <c r="B455" i="5" a="1"/>
  <c r="C455" i="5" s="1" a="1"/>
  <c r="B456" i="5" a="1"/>
  <c r="C456" i="5" s="1" a="1"/>
  <c r="B457" i="5" a="1"/>
  <c r="C457" i="5" s="1" a="1"/>
  <c r="B458" i="5" a="1"/>
  <c r="C458" i="5" s="1" a="1"/>
  <c r="B459" i="5" a="1"/>
  <c r="C459" i="5" s="1" a="1"/>
  <c r="B460" i="5" a="1"/>
  <c r="C460" i="5" s="1" a="1"/>
  <c r="B461" i="5" a="1"/>
  <c r="C461" i="5" s="1" a="1"/>
  <c r="B462" i="5" a="1"/>
  <c r="C462" i="5" s="1" a="1"/>
  <c r="B463" i="5" a="1"/>
  <c r="C463" i="5" s="1" a="1"/>
  <c r="B464" i="5" a="1"/>
  <c r="C464" i="5" s="1" a="1"/>
  <c r="B465" i="5" a="1"/>
  <c r="C465" i="5" s="1" a="1"/>
  <c r="B466" i="5" a="1"/>
  <c r="C466" i="5" s="1" a="1"/>
  <c r="B467" i="5" a="1"/>
  <c r="C467" i="5" s="1" a="1"/>
  <c r="B468" i="5" a="1"/>
  <c r="C468" i="5" s="1" a="1"/>
  <c r="B469" i="5" a="1"/>
  <c r="C469" i="5" s="1" a="1"/>
  <c r="B470" i="5" a="1"/>
  <c r="C470" i="5" s="1" a="1"/>
  <c r="B471" i="5" a="1"/>
  <c r="C471" i="5" s="1" a="1"/>
  <c r="B472" i="5" a="1"/>
  <c r="C472" i="5" s="1" a="1"/>
  <c r="B473" i="5" a="1"/>
  <c r="C473" i="5" s="1" a="1"/>
  <c r="B474" i="5" a="1"/>
  <c r="C474" i="5" s="1" a="1"/>
  <c r="B475" i="5" a="1"/>
  <c r="C475" i="5" s="1" a="1"/>
  <c r="B476" i="5" a="1"/>
  <c r="C476" i="5" s="1" a="1"/>
  <c r="B477" i="5" a="1"/>
  <c r="C477" i="5" s="1" a="1"/>
  <c r="B478" i="5" a="1"/>
  <c r="C478" i="5" s="1" a="1"/>
  <c r="B479" i="5" a="1"/>
  <c r="C479" i="5" s="1" a="1"/>
  <c r="B480" i="5" a="1"/>
  <c r="C480" i="5" s="1" a="1"/>
  <c r="B481" i="5" a="1"/>
  <c r="C481" i="5" s="1" a="1"/>
  <c r="B482" i="5" a="1"/>
  <c r="C482" i="5" s="1" a="1"/>
  <c r="B483" i="5" a="1"/>
  <c r="C483" i="5" s="1" a="1"/>
  <c r="B484" i="5" a="1"/>
  <c r="C484" i="5" s="1" a="1"/>
  <c r="B485" i="5" a="1"/>
  <c r="C485" i="5" s="1" a="1"/>
  <c r="B486" i="5" a="1"/>
  <c r="C486" i="5" s="1" a="1"/>
  <c r="B487" i="5" a="1"/>
  <c r="C487" i="5" s="1" a="1"/>
  <c r="B488" i="5" a="1"/>
  <c r="C488" i="5" s="1" a="1"/>
  <c r="B489" i="5" a="1"/>
  <c r="C489" i="5" s="1" a="1"/>
  <c r="B490" i="5" a="1"/>
  <c r="C490" i="5" s="1" a="1"/>
  <c r="B491" i="5" a="1"/>
  <c r="C491" i="5" s="1" a="1"/>
  <c r="B492" i="5" a="1"/>
  <c r="C492" i="5" s="1" a="1"/>
  <c r="B493" i="5" a="1"/>
  <c r="C493" i="5" s="1" a="1"/>
  <c r="B494" i="5" a="1"/>
  <c r="C494" i="5" s="1" a="1"/>
  <c r="B495" i="5" a="1"/>
  <c r="C495" i="5" s="1" a="1"/>
  <c r="B496" i="5" a="1"/>
  <c r="C496" i="5" s="1" a="1"/>
  <c r="B497" i="5" a="1"/>
  <c r="C497" i="5" s="1" a="1"/>
  <c r="B498" i="5" a="1"/>
  <c r="C498" i="5" s="1" a="1"/>
  <c r="B499" i="5" a="1"/>
  <c r="C499" i="5" s="1" a="1"/>
  <c r="B500" i="5" a="1"/>
  <c r="C500" i="5" s="1" a="1"/>
  <c r="B501" i="5" a="1"/>
  <c r="C501" i="5" s="1" a="1"/>
  <c r="B502" i="5" a="1"/>
  <c r="C502" i="5" s="1" a="1"/>
  <c r="B503" i="5" a="1"/>
  <c r="C503" i="5" s="1" a="1"/>
  <c r="B504" i="5" a="1"/>
  <c r="C504" i="5" s="1" a="1"/>
  <c r="B505" i="5" a="1"/>
  <c r="C505" i="5" s="1" a="1"/>
  <c r="B506" i="5" a="1"/>
  <c r="C506" i="5" s="1" a="1"/>
  <c r="B507" i="5" a="1"/>
  <c r="C507" i="5" s="1" a="1"/>
  <c r="B508" i="5" a="1"/>
  <c r="C508" i="5" s="1" a="1"/>
  <c r="B509" i="5" a="1"/>
  <c r="C509" i="5" s="1" a="1"/>
  <c r="B510" i="5" a="1"/>
  <c r="C510" i="5" s="1" a="1"/>
  <c r="B511" i="5" a="1"/>
  <c r="C511" i="5" s="1" a="1"/>
  <c r="B512" i="5" a="1"/>
  <c r="C512" i="5" s="1" a="1"/>
  <c r="B513" i="5" a="1"/>
  <c r="C513" i="5" s="1" a="1"/>
  <c r="B514" i="5" a="1"/>
  <c r="C514" i="5" s="1" a="1"/>
  <c r="B515" i="5" a="1"/>
  <c r="C515" i="5" s="1" a="1"/>
  <c r="B12" i="5" a="1"/>
  <c r="C11" i="5"/>
  <c r="B11" i="5"/>
  <c r="B10" i="5"/>
  <c r="C8" i="1" a="1"/>
  <c r="B8" i="1" a="1"/>
  <c r="G8" i="1" s="1"/>
  <c r="B9" i="1" a="1"/>
  <c r="G9" i="1" s="1"/>
  <c r="B10" i="1" a="1"/>
  <c r="G10" i="1" s="1"/>
  <c r="B11" i="1" a="1"/>
  <c r="B12" i="1" a="1"/>
  <c r="B13" i="1" a="1"/>
  <c r="E13" i="1" s="1"/>
  <c r="B14" i="1" a="1"/>
  <c r="G14" i="1" s="1"/>
  <c r="B15" i="1" a="1"/>
  <c r="B16" i="1" a="1"/>
  <c r="B17" i="1" a="1"/>
  <c r="G17" i="1" s="1"/>
  <c r="B18" i="1" a="1"/>
  <c r="I18" i="1" s="1"/>
  <c r="B19" i="1" a="1"/>
  <c r="G19" i="1" s="1"/>
  <c r="B20" i="1" a="1"/>
  <c r="B21" i="1" a="1"/>
  <c r="B22" i="1" a="1"/>
  <c r="B23" i="1" a="1"/>
  <c r="E23" i="1" s="1"/>
  <c r="B24" i="1" a="1"/>
  <c r="G24" i="1" s="1"/>
  <c r="B25" i="1" a="1"/>
  <c r="G25" i="1" s="1"/>
  <c r="B26" i="1" a="1"/>
  <c r="E26" i="1" s="1"/>
  <c r="B27" i="1" a="1"/>
  <c r="I27" i="1" s="1"/>
  <c r="B28" i="1" a="1"/>
  <c r="B29" i="1" a="1"/>
  <c r="E29" i="1" s="1"/>
  <c r="B30" i="1" a="1"/>
  <c r="I30" i="1" s="1"/>
  <c r="B31" i="1" a="1"/>
  <c r="I31" i="1" s="1"/>
  <c r="B32" i="1" a="1"/>
  <c r="B33" i="1" a="1"/>
  <c r="B34" i="1" a="1"/>
  <c r="B35" i="1" a="1"/>
  <c r="B36" i="1" a="1"/>
  <c r="E36" i="1" s="1"/>
  <c r="B37" i="1" a="1"/>
  <c r="B38" i="1" a="1"/>
  <c r="G38" i="1" s="1"/>
  <c r="B39" i="1" a="1"/>
  <c r="G39" i="1" s="1"/>
  <c r="B40" i="1" a="1"/>
  <c r="B41" i="1" a="1"/>
  <c r="G41" i="1" s="1"/>
  <c r="B42" i="1" a="1"/>
  <c r="B43" i="1" a="1"/>
  <c r="G43" i="1" s="1"/>
  <c r="B44" i="1" a="1"/>
  <c r="B45" i="1" a="1"/>
  <c r="E45" i="1" s="1"/>
  <c r="B46" i="1" a="1"/>
  <c r="I46" i="1" s="1"/>
  <c r="B47" i="1" a="1"/>
  <c r="E47" i="1" s="1"/>
  <c r="B48" i="1" a="1"/>
  <c r="E48" i="1" s="1"/>
  <c r="B49" i="1" a="1"/>
  <c r="E49" i="1" s="1"/>
  <c r="B50" i="1" a="1"/>
  <c r="G50" i="1" s="1"/>
  <c r="B51" i="1" a="1"/>
  <c r="I51" i="1" s="1"/>
  <c r="B52" i="1" a="1"/>
  <c r="G52" i="1" s="1"/>
  <c r="B53" i="1" a="1"/>
  <c r="E53" i="1" s="1"/>
  <c r="B54" i="1" a="1"/>
  <c r="E54" i="1" s="1"/>
  <c r="B55" i="1" a="1"/>
  <c r="G55" i="1" s="1"/>
  <c r="B56" i="1" a="1"/>
  <c r="G56" i="1" s="1"/>
  <c r="B57" i="1" a="1"/>
  <c r="B58" i="1" a="1"/>
  <c r="I58" i="1" s="1"/>
  <c r="B59" i="1" a="1"/>
  <c r="B60" i="1" a="1"/>
  <c r="B61" i="1" a="1"/>
  <c r="B62" i="1" a="1"/>
  <c r="B63" i="1" a="1"/>
  <c r="E63" i="1" s="1"/>
  <c r="B64" i="1" a="1"/>
  <c r="B65" i="1" a="1"/>
  <c r="I65" i="1" s="1"/>
  <c r="B66" i="1" a="1"/>
  <c r="I66" i="1" s="1"/>
  <c r="B67" i="1" a="1"/>
  <c r="G67" i="1" s="1"/>
  <c r="B68" i="1" a="1"/>
  <c r="B69" i="1" a="1"/>
  <c r="E69" i="1" s="1"/>
  <c r="B70" i="1" a="1"/>
  <c r="G70" i="1" s="1"/>
  <c r="B71" i="1" a="1"/>
  <c r="B72" i="1" a="1"/>
  <c r="B73" i="1" a="1"/>
  <c r="B74" i="1" a="1"/>
  <c r="I74" i="1" s="1"/>
  <c r="B75" i="1" a="1"/>
  <c r="I75" i="1" s="1"/>
  <c r="B76" i="1" a="1"/>
  <c r="E76" i="1" s="1"/>
  <c r="B77" i="1" a="1"/>
  <c r="B78" i="1" a="1"/>
  <c r="B79" i="1" a="1"/>
  <c r="I79" i="1" s="1"/>
  <c r="B80" i="1" a="1"/>
  <c r="B81" i="1" a="1"/>
  <c r="B82" i="1" a="1"/>
  <c r="E82" i="1" s="1"/>
  <c r="B83" i="1" a="1"/>
  <c r="B84" i="1" a="1"/>
  <c r="B85" i="1" a="1"/>
  <c r="E85" i="1" s="1"/>
  <c r="B86" i="1" a="1"/>
  <c r="I86" i="1" s="1"/>
  <c r="B87" i="1" a="1"/>
  <c r="E87" i="1" s="1"/>
  <c r="B88" i="1" a="1"/>
  <c r="E88" i="1" s="1"/>
  <c r="B89" i="1" a="1"/>
  <c r="B90" i="1" a="1"/>
  <c r="I90" i="1" s="1"/>
  <c r="B91" i="1" a="1"/>
  <c r="G91" i="1" s="1"/>
  <c r="B92" i="1" a="1"/>
  <c r="B93" i="1" a="1"/>
  <c r="B94" i="1" a="1"/>
  <c r="I94" i="1" s="1"/>
  <c r="B95" i="1" a="1"/>
  <c r="G95" i="1" s="1"/>
  <c r="B96" i="1" a="1"/>
  <c r="G96" i="1" s="1"/>
  <c r="B97" i="1" a="1"/>
  <c r="G97" i="1" s="1"/>
  <c r="B98" i="1" a="1"/>
  <c r="G98" i="1" s="1"/>
  <c r="B99" i="1" a="1"/>
  <c r="B100" i="1" a="1"/>
  <c r="E100" i="1" s="1"/>
  <c r="B101" i="1" a="1"/>
  <c r="E101" i="1" s="1"/>
  <c r="B102" i="1" a="1"/>
  <c r="G102" i="1" s="1"/>
  <c r="B103" i="1" a="1"/>
  <c r="B104" i="1" a="1"/>
  <c r="B105" i="1" a="1"/>
  <c r="E105" i="1" s="1"/>
  <c r="B106" i="1" a="1"/>
  <c r="I106" i="1" s="1"/>
  <c r="B107" i="1" a="1"/>
  <c r="G107" i="1" s="1"/>
  <c r="B108" i="1" a="1"/>
  <c r="B109" i="1" a="1"/>
  <c r="I109" i="1" s="1"/>
  <c r="B110" i="1" a="1"/>
  <c r="B111" i="1" a="1"/>
  <c r="G111" i="1" s="1"/>
  <c r="B112" i="1" a="1"/>
  <c r="G112" i="1" s="1"/>
  <c r="B113" i="1" a="1"/>
  <c r="G113" i="1" s="1"/>
  <c r="B114" i="1" a="1"/>
  <c r="B115" i="1" a="1"/>
  <c r="B116" i="1" a="1"/>
  <c r="B117" i="1" a="1"/>
  <c r="E117" i="1" s="1"/>
  <c r="B118" i="1" a="1"/>
  <c r="E118" i="1" s="1"/>
  <c r="B119" i="1" a="1"/>
  <c r="B120" i="1" a="1"/>
  <c r="B121" i="1" a="1"/>
  <c r="B122" i="1" a="1"/>
  <c r="I122" i="1" s="1"/>
  <c r="B123" i="1" a="1"/>
  <c r="B124" i="1" a="1"/>
  <c r="B125" i="1" a="1"/>
  <c r="B126" i="1" a="1"/>
  <c r="I126" i="1" s="1"/>
  <c r="B127" i="1" a="1"/>
  <c r="E127" i="1" s="1"/>
  <c r="B128" i="1" a="1"/>
  <c r="G128" i="1" s="1"/>
  <c r="B129" i="1" a="1"/>
  <c r="B130" i="1" a="1"/>
  <c r="B131" i="1" a="1"/>
  <c r="G131" i="1" s="1"/>
  <c r="B132" i="1" a="1"/>
  <c r="B133" i="1" a="1"/>
  <c r="B134" i="1" a="1"/>
  <c r="B135" i="1" a="1"/>
  <c r="G135" i="1" s="1"/>
  <c r="B136" i="1" a="1"/>
  <c r="G136" i="1" s="1"/>
  <c r="B137" i="1" a="1"/>
  <c r="E137" i="1" s="1"/>
  <c r="B138" i="1" a="1"/>
  <c r="G138" i="1" s="1"/>
  <c r="B139" i="1" a="1"/>
  <c r="B140" i="1" a="1"/>
  <c r="B141" i="1" a="1"/>
  <c r="B142" i="1" a="1"/>
  <c r="B143" i="1" a="1"/>
  <c r="B144" i="1" a="1"/>
  <c r="B145" i="1" a="1"/>
  <c r="E145" i="1" s="1"/>
  <c r="B146" i="1" a="1"/>
  <c r="I146" i="1" s="1"/>
  <c r="B147" i="1" a="1"/>
  <c r="B148" i="1" a="1"/>
  <c r="B149" i="1" a="1"/>
  <c r="B150" i="1" a="1"/>
  <c r="G150" i="1" s="1"/>
  <c r="B151" i="1" a="1"/>
  <c r="E151" i="1" s="1"/>
  <c r="B152" i="1" a="1"/>
  <c r="E152" i="1" s="1"/>
  <c r="B153" i="1" a="1"/>
  <c r="B154" i="1" a="1"/>
  <c r="I154" i="1" s="1"/>
  <c r="B155" i="1" a="1"/>
  <c r="G155" i="1" s="1"/>
  <c r="B156" i="1" a="1"/>
  <c r="E156" i="1" s="1"/>
  <c r="B157" i="1" a="1"/>
  <c r="G157" i="1" s="1"/>
  <c r="B158" i="1" a="1"/>
  <c r="B159" i="1" a="1"/>
  <c r="B160" i="1" a="1"/>
  <c r="B161" i="1" a="1"/>
  <c r="G161" i="1" s="1"/>
  <c r="B162" i="1" a="1"/>
  <c r="E162" i="1" s="1"/>
  <c r="B163" i="1" a="1"/>
  <c r="B164" i="1" a="1"/>
  <c r="B165" i="1" a="1"/>
  <c r="B166" i="1" a="1"/>
  <c r="B167" i="1" a="1"/>
  <c r="B168" i="1" a="1"/>
  <c r="B169" i="1" a="1"/>
  <c r="B170" i="1" a="1"/>
  <c r="I170" i="1" s="1"/>
  <c r="B171" i="1" a="1"/>
  <c r="G171" i="1" s="1"/>
  <c r="B172" i="1" a="1"/>
  <c r="B173" i="1" a="1"/>
  <c r="B174" i="1" a="1"/>
  <c r="B175" i="1" a="1"/>
  <c r="E175" i="1" s="1"/>
  <c r="B176" i="1" a="1"/>
  <c r="B177" i="1" a="1"/>
  <c r="E177" i="1" s="1"/>
  <c r="B178" i="1" a="1"/>
  <c r="B179" i="1" a="1"/>
  <c r="G179" i="1" s="1"/>
  <c r="B180" i="1" a="1"/>
  <c r="B181" i="1" a="1"/>
  <c r="G181" i="1" s="1"/>
  <c r="B182" i="1" a="1"/>
  <c r="E182" i="1" s="1"/>
  <c r="B183" i="1" a="1"/>
  <c r="G183" i="1" s="1"/>
  <c r="B184" i="1" a="1"/>
  <c r="G184" i="1" s="1"/>
  <c r="B185" i="1" a="1"/>
  <c r="B186" i="1" a="1"/>
  <c r="I186" i="1" s="1"/>
  <c r="B187" i="1" a="1"/>
  <c r="B188" i="1" a="1"/>
  <c r="B189" i="1" a="1"/>
  <c r="E189" i="1" s="1"/>
  <c r="B190" i="1" a="1"/>
  <c r="B191" i="1" a="1"/>
  <c r="G191" i="1" s="1"/>
  <c r="B192" i="1" a="1"/>
  <c r="B193" i="1" a="1"/>
  <c r="B194" i="1" a="1"/>
  <c r="E194" i="1" s="1"/>
  <c r="B195" i="1" a="1"/>
  <c r="G195" i="1" s="1"/>
  <c r="B196" i="1" a="1"/>
  <c r="B197" i="1" a="1"/>
  <c r="B198" i="1" a="1"/>
  <c r="I198" i="1" s="1"/>
  <c r="B199" i="1" a="1"/>
  <c r="G199" i="1" s="1"/>
  <c r="B200" i="1" a="1"/>
  <c r="E200" i="1" s="1"/>
  <c r="B201" i="1" a="1"/>
  <c r="E201" i="1" s="1"/>
  <c r="B202" i="1" a="1"/>
  <c r="B203" i="1" a="1"/>
  <c r="G203" i="1" s="1"/>
  <c r="B204" i="1" a="1"/>
  <c r="G204" i="1" s="1"/>
  <c r="B205" i="1" a="1"/>
  <c r="E205" i="1" s="1"/>
  <c r="B206" i="1" a="1"/>
  <c r="B207" i="1" a="1"/>
  <c r="G207" i="1" s="1"/>
  <c r="B208" i="1" a="1"/>
  <c r="B209" i="1" a="1"/>
  <c r="B210" i="1" a="1"/>
  <c r="E210" i="1" s="1"/>
  <c r="B211" i="1" a="1"/>
  <c r="B212" i="1" a="1"/>
  <c r="B213" i="1" a="1"/>
  <c r="B214" i="1" a="1"/>
  <c r="B215" i="1" a="1"/>
  <c r="G215" i="1" s="1"/>
  <c r="B216" i="1" a="1"/>
  <c r="B217" i="1" a="1"/>
  <c r="B218" i="1" a="1"/>
  <c r="E218" i="1" s="1"/>
  <c r="B219" i="1" a="1"/>
  <c r="G219" i="1" s="1"/>
  <c r="B220" i="1" a="1"/>
  <c r="E220" i="1" s="1"/>
  <c r="B221" i="1" a="1"/>
  <c r="G221" i="1" s="1"/>
  <c r="B222" i="1" a="1"/>
  <c r="B223" i="1" a="1"/>
  <c r="E223" i="1" s="1"/>
  <c r="B224" i="1" a="1"/>
  <c r="E224" i="1" s="1"/>
  <c r="B225" i="1" a="1"/>
  <c r="E225" i="1" s="1"/>
  <c r="B226" i="1" a="1"/>
  <c r="B227" i="1" a="1"/>
  <c r="B228" i="1" a="1"/>
  <c r="G228" i="1" s="1"/>
  <c r="B229" i="1" a="1"/>
  <c r="E229" i="1" s="1"/>
  <c r="B230" i="1" a="1"/>
  <c r="B231" i="1" a="1"/>
  <c r="B232" i="1" a="1"/>
  <c r="B233" i="1" a="1"/>
  <c r="G233" i="1" s="1"/>
  <c r="B234" i="1" a="1"/>
  <c r="I234" i="1" s="1"/>
  <c r="B235" i="1" a="1"/>
  <c r="G235" i="1" s="1"/>
  <c r="B236" i="1" a="1"/>
  <c r="B237" i="1" a="1"/>
  <c r="B238" i="1" a="1"/>
  <c r="I238" i="1" s="1"/>
  <c r="B239" i="1" a="1"/>
  <c r="G239" i="1" s="1"/>
  <c r="B240" i="1" a="1"/>
  <c r="B241" i="1" a="1"/>
  <c r="G241" i="1" s="1"/>
  <c r="B242" i="1" a="1"/>
  <c r="B243" i="1" a="1"/>
  <c r="E243" i="1" s="1"/>
  <c r="B244" i="1" a="1"/>
  <c r="E244" i="1" s="1"/>
  <c r="B245" i="1" a="1"/>
  <c r="B246" i="1" a="1"/>
  <c r="E246" i="1" s="1"/>
  <c r="B247" i="1" a="1"/>
  <c r="G247" i="1" s="1"/>
  <c r="B248" i="1" a="1"/>
  <c r="E248" i="1" s="1"/>
  <c r="B249" i="1" a="1"/>
  <c r="B250" i="1" a="1"/>
  <c r="B251" i="1" a="1"/>
  <c r="B252" i="1" a="1"/>
  <c r="B253" i="1" a="1"/>
  <c r="G253" i="1" s="1"/>
  <c r="B254" i="1" a="1"/>
  <c r="I254" i="1" s="1"/>
  <c r="B255" i="1" a="1"/>
  <c r="E255" i="1" s="1"/>
  <c r="B256" i="1" a="1"/>
  <c r="B257" i="1" a="1"/>
  <c r="G257" i="1" s="1"/>
  <c r="B258" i="1" a="1"/>
  <c r="I258" i="1" s="1"/>
  <c r="B259" i="1" a="1"/>
  <c r="G259" i="1" s="1"/>
  <c r="B260" i="1" a="1"/>
  <c r="E260" i="1" s="1"/>
  <c r="B261" i="1" a="1"/>
  <c r="B262" i="1" a="1"/>
  <c r="G262" i="1" s="1"/>
  <c r="B263" i="1" a="1"/>
  <c r="E263" i="1" s="1"/>
  <c r="B264" i="1" a="1"/>
  <c r="B265" i="1" a="1"/>
  <c r="B266" i="1" a="1"/>
  <c r="G266" i="1" s="1"/>
  <c r="B267" i="1" a="1"/>
  <c r="G267" i="1" s="1"/>
  <c r="B268" i="1" a="1"/>
  <c r="E268" i="1" s="1"/>
  <c r="B269" i="1" a="1"/>
  <c r="G269" i="1" s="1"/>
  <c r="B270" i="1" a="1"/>
  <c r="B271" i="1" a="1"/>
  <c r="G271" i="1" s="1"/>
  <c r="B272" i="1" a="1"/>
  <c r="G272" i="1" s="1"/>
  <c r="B273" i="1" a="1"/>
  <c r="E273" i="1" s="1"/>
  <c r="B274" i="1" a="1"/>
  <c r="B275" i="1" a="1"/>
  <c r="B276" i="1" a="1"/>
  <c r="B277" i="1" a="1"/>
  <c r="E277" i="1" s="1"/>
  <c r="B278" i="1" a="1"/>
  <c r="G278" i="1" s="1"/>
  <c r="B279" i="1" a="1"/>
  <c r="G279" i="1" s="1"/>
  <c r="B280" i="1" a="1"/>
  <c r="E280" i="1" s="1"/>
  <c r="B281" i="1" a="1"/>
  <c r="B282" i="1" a="1"/>
  <c r="I282" i="1" s="1"/>
  <c r="B283" i="1" a="1"/>
  <c r="G283" i="1" s="1"/>
  <c r="B284" i="1" a="1"/>
  <c r="G284" i="1" s="1"/>
  <c r="B285" i="1" a="1"/>
  <c r="G285" i="1" s="1"/>
  <c r="B286" i="1" a="1"/>
  <c r="B287" i="1" a="1"/>
  <c r="E287" i="1" s="1"/>
  <c r="B288" i="1" a="1"/>
  <c r="G288" i="1" s="1"/>
  <c r="B289" i="1" a="1"/>
  <c r="G289" i="1" s="1"/>
  <c r="B290" i="1" a="1"/>
  <c r="B291" i="1" a="1"/>
  <c r="B292" i="1" a="1"/>
  <c r="E292" i="1" s="1"/>
  <c r="B293" i="1" a="1"/>
  <c r="E293" i="1" s="1"/>
  <c r="B294" i="1" a="1"/>
  <c r="G294" i="1" s="1"/>
  <c r="B295" i="1" a="1"/>
  <c r="B296" i="1" a="1"/>
  <c r="B297" i="1" a="1"/>
  <c r="B298" i="1" a="1"/>
  <c r="I298" i="1" s="1"/>
  <c r="B299" i="1" a="1"/>
  <c r="G299" i="1" s="1"/>
  <c r="B300" i="1" a="1"/>
  <c r="G300" i="1" s="1"/>
  <c r="B301" i="1" a="1"/>
  <c r="B302" i="1" a="1"/>
  <c r="B303" i="1" a="1"/>
  <c r="E303" i="1" s="1"/>
  <c r="B304" i="1" a="1"/>
  <c r="G304" i="1" s="1"/>
  <c r="B305" i="1" a="1"/>
  <c r="G305" i="1" s="1"/>
  <c r="B306" i="1" a="1"/>
  <c r="B307" i="1" a="1"/>
  <c r="B2" i="5"/>
  <c r="B2" i="6"/>
  <c r="B2" i="1" a="1"/>
  <c r="B2" i="7"/>
  <c r="C20" i="6"/>
  <c r="C19" i="6" s="1"/>
  <c r="C18" i="6" s="1"/>
  <c r="F17" i="6"/>
  <c r="G17" i="6" s="1"/>
  <c r="H17" i="6" s="1"/>
  <c r="C11" i="6"/>
  <c r="C10" i="6" s="1"/>
  <c r="C9" i="6" s="1"/>
  <c r="F8" i="6"/>
  <c r="G8" i="6" s="1"/>
  <c r="H8" i="6" s="1"/>
  <c r="C10" i="5"/>
  <c r="E5" i="2"/>
  <c r="E28" i="1" l="1"/>
  <c r="I28" i="1"/>
  <c r="H20" i="6"/>
  <c r="I233" i="1"/>
  <c r="G243" i="1"/>
  <c r="E191" i="1"/>
  <c r="G57" i="1"/>
  <c r="I57" i="1"/>
  <c r="G64" i="1"/>
  <c r="I64" i="1"/>
  <c r="E142" i="1"/>
  <c r="I142" i="1"/>
  <c r="G246" i="1"/>
  <c r="I56" i="1"/>
  <c r="I50" i="1"/>
  <c r="I98" i="1"/>
  <c r="I210" i="1"/>
  <c r="G230" i="1"/>
  <c r="E230" i="1"/>
  <c r="E68" i="1"/>
  <c r="G68" i="1"/>
  <c r="E93" i="1"/>
  <c r="G93" i="1"/>
  <c r="E56" i="1"/>
  <c r="E288" i="1"/>
  <c r="G210" i="1"/>
  <c r="E279" i="1"/>
  <c r="E136" i="1"/>
  <c r="E24" i="1"/>
  <c r="G29" i="1"/>
  <c r="E199" i="1"/>
  <c r="E161" i="1"/>
  <c r="I97" i="1"/>
  <c r="E239" i="1"/>
  <c r="G28" i="1"/>
  <c r="I36" i="1"/>
  <c r="E238" i="1"/>
  <c r="E111" i="1"/>
  <c r="G298" i="1"/>
  <c r="G170" i="1"/>
  <c r="G27" i="1"/>
  <c r="G75" i="1"/>
  <c r="E102" i="1"/>
  <c r="G293" i="1"/>
  <c r="G142" i="1"/>
  <c r="G166" i="1"/>
  <c r="E166" i="1"/>
  <c r="E132" i="1"/>
  <c r="G132" i="1"/>
  <c r="E92" i="1"/>
  <c r="G92" i="1"/>
  <c r="G240" i="1"/>
  <c r="E240" i="1"/>
  <c r="E180" i="1"/>
  <c r="G180" i="1"/>
  <c r="E12" i="1"/>
  <c r="G12" i="1"/>
  <c r="I34" i="1"/>
  <c r="E34" i="1"/>
  <c r="G174" i="1"/>
  <c r="E174" i="1"/>
  <c r="G214" i="1"/>
  <c r="E214" i="1"/>
  <c r="G190" i="1"/>
  <c r="E190" i="1"/>
  <c r="E165" i="1"/>
  <c r="G165" i="1"/>
  <c r="G160" i="1"/>
  <c r="I160" i="1"/>
  <c r="E160" i="1"/>
  <c r="E141" i="1"/>
  <c r="I141" i="1"/>
  <c r="G141" i="1"/>
  <c r="G176" i="1"/>
  <c r="E176" i="1"/>
  <c r="G121" i="1"/>
  <c r="I121" i="1"/>
  <c r="E121" i="1"/>
  <c r="G26" i="1"/>
  <c r="G218" i="1"/>
  <c r="G106" i="1"/>
  <c r="E18" i="1"/>
  <c r="I161" i="1"/>
  <c r="E215" i="1"/>
  <c r="E150" i="1"/>
  <c r="E126" i="1"/>
  <c r="E96" i="1"/>
  <c r="E65" i="1"/>
  <c r="E46" i="1"/>
  <c r="E17" i="1"/>
  <c r="G282" i="1"/>
  <c r="G234" i="1"/>
  <c r="G194" i="1"/>
  <c r="G156" i="1"/>
  <c r="G126" i="1"/>
  <c r="G53" i="1"/>
  <c r="G18" i="1"/>
  <c r="E112" i="1"/>
  <c r="I25" i="1"/>
  <c r="E305" i="1"/>
  <c r="E146" i="1"/>
  <c r="E122" i="1"/>
  <c r="E95" i="1"/>
  <c r="E39" i="1"/>
  <c r="E9" i="1"/>
  <c r="G260" i="1"/>
  <c r="G229" i="1"/>
  <c r="G118" i="1"/>
  <c r="G13" i="1"/>
  <c r="E55" i="1"/>
  <c r="G244" i="1"/>
  <c r="G66" i="1"/>
  <c r="I96" i="1"/>
  <c r="I24" i="1"/>
  <c r="I289" i="1"/>
  <c r="I266" i="1"/>
  <c r="E304" i="1"/>
  <c r="E254" i="1"/>
  <c r="E90" i="1"/>
  <c r="E58" i="1"/>
  <c r="E8" i="1"/>
  <c r="G220" i="1"/>
  <c r="G154" i="1"/>
  <c r="G117" i="1"/>
  <c r="G90" i="1"/>
  <c r="G51" i="1"/>
  <c r="E294" i="1"/>
  <c r="E86" i="1"/>
  <c r="G101" i="1"/>
  <c r="I205" i="1"/>
  <c r="E135" i="1"/>
  <c r="E79" i="1"/>
  <c r="G100" i="1"/>
  <c r="I184" i="1"/>
  <c r="E278" i="1"/>
  <c r="E74" i="1"/>
  <c r="I257" i="1"/>
  <c r="E138" i="1"/>
  <c r="E113" i="1"/>
  <c r="E57" i="1"/>
  <c r="E31" i="1"/>
  <c r="G258" i="1"/>
  <c r="G146" i="1"/>
  <c r="G82" i="1"/>
  <c r="G36" i="1"/>
  <c r="G206" i="1"/>
  <c r="E206" i="1"/>
  <c r="I216" i="1"/>
  <c r="G216" i="1"/>
  <c r="E216" i="1"/>
  <c r="I153" i="1"/>
  <c r="G153" i="1"/>
  <c r="E153" i="1"/>
  <c r="G265" i="1"/>
  <c r="I265" i="1"/>
  <c r="E265" i="1"/>
  <c r="I270" i="1"/>
  <c r="G270" i="1"/>
  <c r="E270" i="1"/>
  <c r="E158" i="1"/>
  <c r="G158" i="1"/>
  <c r="I286" i="1"/>
  <c r="E286" i="1"/>
  <c r="G286" i="1"/>
  <c r="I125" i="1"/>
  <c r="E125" i="1"/>
  <c r="G125" i="1"/>
  <c r="E44" i="1"/>
  <c r="I44" i="1"/>
  <c r="G44" i="1"/>
  <c r="G32" i="1"/>
  <c r="E32" i="1"/>
  <c r="I62" i="1"/>
  <c r="G62" i="1"/>
  <c r="E252" i="1"/>
  <c r="G252" i="1"/>
  <c r="E236" i="1"/>
  <c r="I236" i="1"/>
  <c r="G236" i="1"/>
  <c r="E188" i="1"/>
  <c r="G188" i="1"/>
  <c r="I73" i="1"/>
  <c r="G73" i="1"/>
  <c r="I42" i="1"/>
  <c r="E42" i="1"/>
  <c r="G42" i="1"/>
  <c r="I187" i="1"/>
  <c r="E187" i="1"/>
  <c r="G187" i="1"/>
  <c r="E60" i="1"/>
  <c r="G60" i="1"/>
  <c r="I60" i="1"/>
  <c r="G281" i="1"/>
  <c r="E281" i="1"/>
  <c r="I275" i="1"/>
  <c r="E275" i="1"/>
  <c r="G275" i="1"/>
  <c r="I222" i="1"/>
  <c r="E222" i="1"/>
  <c r="G222" i="1"/>
  <c r="I211" i="1"/>
  <c r="E211" i="1"/>
  <c r="G211" i="1"/>
  <c r="G168" i="1"/>
  <c r="E168" i="1"/>
  <c r="G162" i="1"/>
  <c r="I162" i="1"/>
  <c r="G120" i="1"/>
  <c r="E120" i="1"/>
  <c r="I120" i="1"/>
  <c r="I114" i="1"/>
  <c r="G114" i="1"/>
  <c r="E114" i="1"/>
  <c r="I33" i="1"/>
  <c r="G33" i="1"/>
  <c r="E33" i="1"/>
  <c r="I22" i="1"/>
  <c r="E22" i="1"/>
  <c r="G22" i="1"/>
  <c r="G16" i="1"/>
  <c r="E16" i="1"/>
  <c r="E11" i="1"/>
  <c r="G11" i="1"/>
  <c r="E266" i="1"/>
  <c r="E73" i="1"/>
  <c r="G182" i="1"/>
  <c r="G54" i="1"/>
  <c r="I140" i="1"/>
  <c r="E140" i="1"/>
  <c r="G140" i="1"/>
  <c r="I274" i="1"/>
  <c r="E274" i="1"/>
  <c r="I221" i="1"/>
  <c r="E221" i="1"/>
  <c r="E173" i="1"/>
  <c r="G173" i="1"/>
  <c r="I173" i="1"/>
  <c r="E130" i="1"/>
  <c r="G130" i="1"/>
  <c r="E21" i="1"/>
  <c r="G21" i="1"/>
  <c r="G242" i="1"/>
  <c r="E242" i="1"/>
  <c r="I226" i="1"/>
  <c r="G226" i="1"/>
  <c r="I129" i="1"/>
  <c r="G129" i="1"/>
  <c r="E129" i="1"/>
  <c r="I193" i="1"/>
  <c r="G193" i="1"/>
  <c r="E193" i="1"/>
  <c r="I134" i="1"/>
  <c r="G134" i="1"/>
  <c r="E134" i="1"/>
  <c r="I61" i="1"/>
  <c r="E61" i="1"/>
  <c r="G61" i="1"/>
  <c r="E301" i="1"/>
  <c r="G301" i="1"/>
  <c r="I301" i="1"/>
  <c r="I251" i="1"/>
  <c r="E251" i="1"/>
  <c r="G251" i="1"/>
  <c r="G192" i="1"/>
  <c r="E192" i="1"/>
  <c r="E139" i="1"/>
  <c r="G139" i="1"/>
  <c r="E133" i="1"/>
  <c r="G133" i="1"/>
  <c r="G78" i="1"/>
  <c r="E78" i="1"/>
  <c r="I306" i="1"/>
  <c r="G306" i="1"/>
  <c r="E306" i="1"/>
  <c r="G256" i="1"/>
  <c r="I256" i="1"/>
  <c r="E256" i="1"/>
  <c r="I250" i="1"/>
  <c r="E250" i="1"/>
  <c r="G250" i="1"/>
  <c r="E245" i="1"/>
  <c r="G245" i="1"/>
  <c r="E197" i="1"/>
  <c r="G197" i="1"/>
  <c r="G144" i="1"/>
  <c r="E144" i="1"/>
  <c r="G110" i="1"/>
  <c r="E110" i="1"/>
  <c r="E77" i="1"/>
  <c r="I77" i="1"/>
  <c r="G77" i="1"/>
  <c r="G71" i="1"/>
  <c r="E71" i="1"/>
  <c r="E241" i="1"/>
  <c r="E38" i="1"/>
  <c r="E10" i="1"/>
  <c r="I280" i="1"/>
  <c r="G280" i="1"/>
  <c r="I119" i="1"/>
  <c r="G119" i="1"/>
  <c r="E119" i="1"/>
  <c r="I37" i="1"/>
  <c r="E37" i="1"/>
  <c r="G37" i="1"/>
  <c r="G15" i="1"/>
  <c r="E15" i="1"/>
  <c r="G297" i="1"/>
  <c r="I297" i="1"/>
  <c r="E297" i="1"/>
  <c r="I178" i="1"/>
  <c r="G178" i="1"/>
  <c r="E178" i="1"/>
  <c r="E124" i="1"/>
  <c r="G124" i="1"/>
  <c r="G296" i="1"/>
  <c r="E296" i="1"/>
  <c r="G290" i="1"/>
  <c r="I290" i="1"/>
  <c r="G231" i="1"/>
  <c r="E231" i="1"/>
  <c r="I177" i="1"/>
  <c r="G177" i="1"/>
  <c r="I49" i="1"/>
  <c r="G49" i="1"/>
  <c r="E290" i="1"/>
  <c r="I48" i="1"/>
  <c r="G48" i="1"/>
  <c r="I32" i="1"/>
  <c r="E261" i="1"/>
  <c r="G261" i="1"/>
  <c r="I149" i="1"/>
  <c r="E149" i="1"/>
  <c r="G149" i="1"/>
  <c r="E109" i="1"/>
  <c r="G109" i="1"/>
  <c r="G167" i="1"/>
  <c r="E167" i="1"/>
  <c r="I285" i="1"/>
  <c r="E285" i="1"/>
  <c r="G232" i="1"/>
  <c r="E232" i="1"/>
  <c r="I172" i="1"/>
  <c r="E172" i="1"/>
  <c r="G172" i="1"/>
  <c r="I43" i="1"/>
  <c r="E43" i="1"/>
  <c r="E226" i="1"/>
  <c r="I302" i="1"/>
  <c r="G302" i="1"/>
  <c r="E302" i="1"/>
  <c r="E62" i="1"/>
  <c r="G295" i="1"/>
  <c r="E295" i="1"/>
  <c r="I72" i="1"/>
  <c r="G72" i="1"/>
  <c r="E72" i="1"/>
  <c r="I255" i="1"/>
  <c r="G255" i="1"/>
  <c r="I202" i="1"/>
  <c r="G202" i="1"/>
  <c r="E196" i="1"/>
  <c r="I196" i="1"/>
  <c r="E164" i="1"/>
  <c r="I164" i="1"/>
  <c r="G164" i="1"/>
  <c r="G143" i="1"/>
  <c r="E143" i="1"/>
  <c r="E116" i="1"/>
  <c r="G116" i="1"/>
  <c r="I104" i="1"/>
  <c r="G104" i="1"/>
  <c r="E104" i="1"/>
  <c r="E99" i="1"/>
  <c r="G99" i="1"/>
  <c r="E83" i="1"/>
  <c r="G83" i="1"/>
  <c r="E276" i="1"/>
  <c r="G276" i="1"/>
  <c r="I217" i="1"/>
  <c r="G217" i="1"/>
  <c r="E217" i="1"/>
  <c r="E212" i="1"/>
  <c r="G212" i="1"/>
  <c r="G201" i="1"/>
  <c r="I201" i="1"/>
  <c r="G169" i="1"/>
  <c r="E169" i="1"/>
  <c r="I163" i="1"/>
  <c r="E163" i="1"/>
  <c r="G163" i="1"/>
  <c r="E148" i="1"/>
  <c r="G148" i="1"/>
  <c r="I115" i="1"/>
  <c r="E115" i="1"/>
  <c r="G115" i="1"/>
  <c r="E108" i="1"/>
  <c r="G108" i="1"/>
  <c r="G103" i="1"/>
  <c r="E103" i="1"/>
  <c r="I88" i="1"/>
  <c r="G88" i="1"/>
  <c r="E202" i="1"/>
  <c r="E98" i="1"/>
  <c r="G274" i="1"/>
  <c r="G196" i="1"/>
  <c r="I157" i="1"/>
  <c r="E157" i="1"/>
  <c r="I152" i="1"/>
  <c r="G152" i="1"/>
  <c r="G205" i="1"/>
  <c r="I200" i="1"/>
  <c r="G200" i="1"/>
  <c r="I147" i="1"/>
  <c r="E147" i="1"/>
  <c r="I137" i="1"/>
  <c r="G137" i="1"/>
  <c r="I123" i="1"/>
  <c r="E123" i="1"/>
  <c r="I87" i="1"/>
  <c r="G87" i="1"/>
  <c r="I69" i="1"/>
  <c r="H9" i="6"/>
  <c r="I307" i="1"/>
  <c r="E307" i="1"/>
  <c r="I291" i="1"/>
  <c r="E291" i="1"/>
  <c r="I237" i="1"/>
  <c r="E237" i="1"/>
  <c r="I227" i="1"/>
  <c r="E227" i="1"/>
  <c r="I159" i="1"/>
  <c r="G159" i="1"/>
  <c r="I89" i="1"/>
  <c r="G89" i="1"/>
  <c r="I84" i="1"/>
  <c r="E84" i="1"/>
  <c r="I23" i="1"/>
  <c r="G23" i="1"/>
  <c r="E128" i="1"/>
  <c r="E89" i="1"/>
  <c r="E64" i="1"/>
  <c r="E50" i="1"/>
  <c r="E25" i="1"/>
  <c r="E14" i="1"/>
  <c r="G186" i="1"/>
  <c r="G147" i="1"/>
  <c r="G122" i="1"/>
  <c r="G94" i="1"/>
  <c r="G69" i="1"/>
  <c r="G58" i="1"/>
  <c r="G30" i="1"/>
  <c r="I249" i="1"/>
  <c r="G249" i="1"/>
  <c r="I300" i="1"/>
  <c r="E300" i="1"/>
  <c r="I269" i="1"/>
  <c r="E269" i="1"/>
  <c r="I264" i="1"/>
  <c r="G264" i="1"/>
  <c r="E97" i="1"/>
  <c r="I195" i="1"/>
  <c r="E195" i="1"/>
  <c r="I185" i="1"/>
  <c r="G185" i="1"/>
  <c r="I107" i="1"/>
  <c r="E107" i="1"/>
  <c r="I81" i="1"/>
  <c r="G81" i="1"/>
  <c r="I47" i="1"/>
  <c r="G47" i="1"/>
  <c r="E185" i="1"/>
  <c r="G76" i="1"/>
  <c r="I209" i="1"/>
  <c r="G209" i="1"/>
  <c r="I175" i="1"/>
  <c r="G175" i="1"/>
  <c r="I151" i="1"/>
  <c r="G151" i="1"/>
  <c r="I127" i="1"/>
  <c r="G127" i="1"/>
  <c r="I80" i="1"/>
  <c r="G80" i="1"/>
  <c r="I52" i="1"/>
  <c r="E52" i="1"/>
  <c r="I40" i="1"/>
  <c r="G40" i="1"/>
  <c r="I35" i="1"/>
  <c r="E35" i="1"/>
  <c r="I19" i="1"/>
  <c r="E19" i="1"/>
  <c r="E298" i="1"/>
  <c r="E262" i="1"/>
  <c r="E234" i="1"/>
  <c r="E209" i="1"/>
  <c r="E198" i="1"/>
  <c r="E184" i="1"/>
  <c r="E170" i="1"/>
  <c r="E159" i="1"/>
  <c r="E106" i="1"/>
  <c r="E81" i="1"/>
  <c r="E70" i="1"/>
  <c r="G292" i="1"/>
  <c r="G189" i="1"/>
  <c r="G86" i="1"/>
  <c r="I284" i="1"/>
  <c r="E284" i="1"/>
  <c r="I259" i="1"/>
  <c r="E259" i="1"/>
  <c r="I181" i="1"/>
  <c r="E181" i="1"/>
  <c r="E289" i="1"/>
  <c r="E264" i="1"/>
  <c r="E186" i="1"/>
  <c r="I299" i="1"/>
  <c r="E299" i="1"/>
  <c r="I283" i="1"/>
  <c r="E283" i="1"/>
  <c r="I273" i="1"/>
  <c r="G273" i="1"/>
  <c r="E249" i="1"/>
  <c r="G268" i="1"/>
  <c r="I132" i="1"/>
  <c r="I253" i="1"/>
  <c r="E253" i="1"/>
  <c r="I224" i="1"/>
  <c r="G224" i="1"/>
  <c r="I204" i="1"/>
  <c r="E204" i="1"/>
  <c r="I128" i="1"/>
  <c r="I76" i="1"/>
  <c r="I303" i="1"/>
  <c r="G303" i="1"/>
  <c r="I213" i="1"/>
  <c r="E213" i="1"/>
  <c r="I208" i="1"/>
  <c r="G208" i="1"/>
  <c r="I131" i="1"/>
  <c r="E131" i="1"/>
  <c r="I91" i="1"/>
  <c r="E91" i="1"/>
  <c r="I63" i="1"/>
  <c r="G63" i="1"/>
  <c r="E272" i="1"/>
  <c r="E258" i="1"/>
  <c r="E247" i="1"/>
  <c r="E233" i="1"/>
  <c r="E208" i="1"/>
  <c r="E183" i="1"/>
  <c r="E94" i="1"/>
  <c r="E80" i="1"/>
  <c r="E66" i="1"/>
  <c r="E41" i="1"/>
  <c r="E30" i="1"/>
  <c r="G291" i="1"/>
  <c r="G277" i="1"/>
  <c r="G238" i="1"/>
  <c r="G227" i="1"/>
  <c r="G213" i="1"/>
  <c r="G85" i="1"/>
  <c r="G74" i="1"/>
  <c r="G46" i="1"/>
  <c r="G35" i="1"/>
  <c r="I235" i="1"/>
  <c r="E235" i="1"/>
  <c r="I225" i="1"/>
  <c r="G225" i="1"/>
  <c r="I59" i="1"/>
  <c r="E59" i="1"/>
  <c r="I20" i="1"/>
  <c r="E20" i="1"/>
  <c r="I171" i="1"/>
  <c r="E171" i="1"/>
  <c r="G307" i="1"/>
  <c r="G254" i="1"/>
  <c r="I263" i="1"/>
  <c r="G263" i="1"/>
  <c r="I219" i="1"/>
  <c r="E219" i="1"/>
  <c r="I287" i="1"/>
  <c r="G287" i="1"/>
  <c r="I267" i="1"/>
  <c r="E267" i="1"/>
  <c r="I248" i="1"/>
  <c r="G248" i="1"/>
  <c r="I223" i="1"/>
  <c r="G223" i="1"/>
  <c r="I70" i="1"/>
  <c r="I41" i="1"/>
  <c r="I228" i="1"/>
  <c r="E228" i="1"/>
  <c r="I203" i="1"/>
  <c r="E203" i="1"/>
  <c r="I179" i="1"/>
  <c r="E179" i="1"/>
  <c r="I155" i="1"/>
  <c r="E155" i="1"/>
  <c r="I145" i="1"/>
  <c r="G145" i="1"/>
  <c r="I105" i="1"/>
  <c r="G105" i="1"/>
  <c r="I67" i="1"/>
  <c r="E67" i="1"/>
  <c r="E282" i="1"/>
  <c r="E271" i="1"/>
  <c r="E257" i="1"/>
  <c r="E207" i="1"/>
  <c r="E154" i="1"/>
  <c r="E40" i="1"/>
  <c r="G237" i="1"/>
  <c r="G198" i="1"/>
  <c r="G123" i="1"/>
  <c r="G84" i="1"/>
  <c r="G59" i="1"/>
  <c r="G45" i="1"/>
  <c r="G34" i="1"/>
  <c r="G20" i="1"/>
  <c r="G65" i="1"/>
  <c r="E75" i="1"/>
  <c r="E51" i="1"/>
  <c r="E27" i="1"/>
  <c r="G79" i="1"/>
  <c r="G31" i="1"/>
  <c r="F20" i="6"/>
  <c r="G19" i="6"/>
  <c r="H19" i="6"/>
  <c r="F19" i="6"/>
  <c r="G20" i="6"/>
  <c r="F18" i="6"/>
  <c r="H18" i="6"/>
  <c r="G18" i="6"/>
  <c r="C21" i="6"/>
  <c r="G21" i="6" s="1"/>
  <c r="E17" i="6"/>
  <c r="F11" i="6"/>
  <c r="G10" i="6"/>
  <c r="F10" i="6"/>
  <c r="H11" i="6"/>
  <c r="H10" i="6"/>
  <c r="G11" i="6"/>
  <c r="G9" i="6"/>
  <c r="F9" i="6"/>
  <c r="C12" i="6"/>
  <c r="E8" i="6"/>
  <c r="E11" i="6" s="1"/>
  <c r="F247" i="1"/>
  <c r="F239" i="1"/>
  <c r="F231" i="1"/>
  <c r="C9" i="1"/>
  <c r="B13" i="5" s="1" a="1"/>
  <c r="F215" i="1"/>
  <c r="F207" i="1"/>
  <c r="F191" i="1"/>
  <c r="F183" i="1"/>
  <c r="F167" i="1"/>
  <c r="F143" i="1"/>
  <c r="F135" i="1"/>
  <c r="F103" i="1"/>
  <c r="F95" i="1"/>
  <c r="F71" i="1"/>
  <c r="F39" i="1"/>
  <c r="F214" i="1"/>
  <c r="F182" i="1"/>
  <c r="F246" i="1"/>
  <c r="F230" i="1"/>
  <c r="F190" i="1"/>
  <c r="F174" i="1"/>
  <c r="F166" i="1"/>
  <c r="F292" i="1"/>
  <c r="F276" i="1"/>
  <c r="F260" i="1"/>
  <c r="F245" i="1"/>
  <c r="F252" i="1"/>
  <c r="F220" i="1"/>
  <c r="F212" i="1"/>
  <c r="F188" i="1"/>
  <c r="F180" i="1"/>
  <c r="F156" i="1"/>
  <c r="F148" i="1"/>
  <c r="F197" i="1"/>
  <c r="F189" i="1"/>
  <c r="F165" i="1"/>
  <c r="F133" i="1"/>
  <c r="F117" i="1"/>
  <c r="F101" i="1"/>
  <c r="F93" i="1"/>
  <c r="F85" i="1"/>
  <c r="F150" i="1"/>
  <c r="F116" i="1"/>
  <c r="F124" i="1"/>
  <c r="F304" i="1"/>
  <c r="F296" i="1"/>
  <c r="F288" i="1"/>
  <c r="F272" i="1"/>
  <c r="F264" i="1"/>
  <c r="F240" i="1"/>
  <c r="F232" i="1"/>
  <c r="F224" i="1"/>
  <c r="F208" i="1"/>
  <c r="F200" i="1"/>
  <c r="F176" i="1"/>
  <c r="F168" i="1"/>
  <c r="F160" i="1"/>
  <c r="F144" i="1"/>
  <c r="F136" i="1"/>
  <c r="F112" i="1"/>
  <c r="F104" i="1"/>
  <c r="F96" i="1"/>
  <c r="F80" i="1"/>
  <c r="F72" i="1"/>
  <c r="F48" i="1"/>
  <c r="F40" i="1"/>
  <c r="F32" i="1"/>
  <c r="F24" i="1"/>
  <c r="F16" i="1"/>
  <c r="F8" i="1"/>
  <c r="D8" i="1" s="1"/>
  <c r="I240" i="1"/>
  <c r="I232" i="1"/>
  <c r="I136" i="1"/>
  <c r="I272" i="1"/>
  <c r="I176" i="1"/>
  <c r="I304" i="1"/>
  <c r="I124" i="1"/>
  <c r="I156" i="1"/>
  <c r="I252" i="1"/>
  <c r="I276" i="1"/>
  <c r="F297" i="1"/>
  <c r="F281" i="1"/>
  <c r="F265" i="1"/>
  <c r="F249" i="1"/>
  <c r="F233" i="1"/>
  <c r="F217" i="1"/>
  <c r="F169" i="1"/>
  <c r="F153" i="1"/>
  <c r="F145" i="1"/>
  <c r="F129" i="1"/>
  <c r="F121" i="1"/>
  <c r="F113" i="1"/>
  <c r="F105" i="1"/>
  <c r="F97" i="1"/>
  <c r="F89" i="1"/>
  <c r="F81" i="1"/>
  <c r="F73" i="1"/>
  <c r="F57" i="1"/>
  <c r="F49" i="1"/>
  <c r="F33" i="1"/>
  <c r="F25" i="1"/>
  <c r="F17" i="1"/>
  <c r="F9" i="1"/>
  <c r="F305" i="1"/>
  <c r="F289" i="1"/>
  <c r="F273" i="1"/>
  <c r="F257" i="1"/>
  <c r="F241" i="1"/>
  <c r="F209" i="1"/>
  <c r="F193" i="1"/>
  <c r="F177" i="1"/>
  <c r="I241" i="1"/>
  <c r="I169" i="1"/>
  <c r="F280" i="1"/>
  <c r="F256" i="1"/>
  <c r="F248" i="1"/>
  <c r="F216" i="1"/>
  <c r="F192" i="1"/>
  <c r="F184" i="1"/>
  <c r="F152" i="1"/>
  <c r="F128" i="1"/>
  <c r="F120" i="1"/>
  <c r="F88" i="1"/>
  <c r="F64" i="1"/>
  <c r="F56" i="1"/>
  <c r="F78" i="1"/>
  <c r="F38" i="1"/>
  <c r="F37" i="1"/>
  <c r="F21" i="1"/>
  <c r="F100" i="1"/>
  <c r="F92" i="1"/>
  <c r="F84" i="1"/>
  <c r="F68" i="1"/>
  <c r="F60" i="1"/>
  <c r="F52" i="1"/>
  <c r="F36" i="1"/>
  <c r="F28" i="1"/>
  <c r="F20" i="1"/>
  <c r="I180" i="1"/>
  <c r="I294" i="1"/>
  <c r="I220" i="1"/>
  <c r="I148" i="1"/>
  <c r="I100" i="1"/>
  <c r="I230" i="1"/>
  <c r="I292" i="1"/>
  <c r="I190" i="1"/>
  <c r="I116" i="1"/>
  <c r="I212" i="1"/>
  <c r="I189" i="1"/>
  <c r="I113" i="1"/>
  <c r="I92" i="1"/>
  <c r="I197" i="1"/>
  <c r="I78" i="1"/>
  <c r="I305" i="1"/>
  <c r="I281" i="1"/>
  <c r="I260" i="1"/>
  <c r="I188" i="1"/>
  <c r="I133" i="1"/>
  <c r="I68" i="1"/>
  <c r="F300" i="1"/>
  <c r="F284" i="1"/>
  <c r="F268" i="1"/>
  <c r="F244" i="1"/>
  <c r="F236" i="1"/>
  <c r="F228" i="1"/>
  <c r="F204" i="1"/>
  <c r="F196" i="1"/>
  <c r="F172" i="1"/>
  <c r="F164" i="1"/>
  <c r="F140" i="1"/>
  <c r="F132" i="1"/>
  <c r="F108" i="1"/>
  <c r="F76" i="1"/>
  <c r="F44" i="1"/>
  <c r="F12" i="1"/>
  <c r="F307" i="1"/>
  <c r="F299" i="1"/>
  <c r="F291" i="1"/>
  <c r="F283" i="1"/>
  <c r="F275" i="1"/>
  <c r="F267" i="1"/>
  <c r="F259" i="1"/>
  <c r="F251" i="1"/>
  <c r="F243" i="1"/>
  <c r="D243" i="1" s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39" i="1"/>
  <c r="F131" i="1"/>
  <c r="F123" i="1"/>
  <c r="F115" i="1"/>
  <c r="F107" i="1"/>
  <c r="F99" i="1"/>
  <c r="F91" i="1"/>
  <c r="F83" i="1"/>
  <c r="F75" i="1"/>
  <c r="F67" i="1"/>
  <c r="F59" i="1"/>
  <c r="F51" i="1"/>
  <c r="F43" i="1"/>
  <c r="F35" i="1"/>
  <c r="F27" i="1"/>
  <c r="F19" i="1"/>
  <c r="F11" i="1"/>
  <c r="F306" i="1"/>
  <c r="F298" i="1"/>
  <c r="F290" i="1"/>
  <c r="F282" i="1"/>
  <c r="F274" i="1"/>
  <c r="F266" i="1"/>
  <c r="F258" i="1"/>
  <c r="F250" i="1"/>
  <c r="F242" i="1"/>
  <c r="F234" i="1"/>
  <c r="F226" i="1"/>
  <c r="F218" i="1"/>
  <c r="D218" i="1" s="1"/>
  <c r="F210" i="1"/>
  <c r="F202" i="1"/>
  <c r="F194" i="1"/>
  <c r="F186" i="1"/>
  <c r="F178" i="1"/>
  <c r="F170" i="1"/>
  <c r="F162" i="1"/>
  <c r="F154" i="1"/>
  <c r="F146" i="1"/>
  <c r="F138" i="1"/>
  <c r="F130" i="1"/>
  <c r="F122" i="1"/>
  <c r="F114" i="1"/>
  <c r="F106" i="1"/>
  <c r="F98" i="1"/>
  <c r="F90" i="1"/>
  <c r="F82" i="1"/>
  <c r="F74" i="1"/>
  <c r="F66" i="1"/>
  <c r="F58" i="1"/>
  <c r="F50" i="1"/>
  <c r="F42" i="1"/>
  <c r="F34" i="1"/>
  <c r="F26" i="1"/>
  <c r="F18" i="1"/>
  <c r="F10" i="1"/>
  <c r="I293" i="1"/>
  <c r="I93" i="1"/>
  <c r="F225" i="1"/>
  <c r="F201" i="1"/>
  <c r="F185" i="1"/>
  <c r="F161" i="1"/>
  <c r="F137" i="1"/>
  <c r="F65" i="1"/>
  <c r="F41" i="1"/>
  <c r="I231" i="1"/>
  <c r="F303" i="1"/>
  <c r="F295" i="1"/>
  <c r="F287" i="1"/>
  <c r="F279" i="1"/>
  <c r="F271" i="1"/>
  <c r="F263" i="1"/>
  <c r="F255" i="1"/>
  <c r="F223" i="1"/>
  <c r="F199" i="1"/>
  <c r="F175" i="1"/>
  <c r="F159" i="1"/>
  <c r="F151" i="1"/>
  <c r="F127" i="1"/>
  <c r="F119" i="1"/>
  <c r="F111" i="1"/>
  <c r="F87" i="1"/>
  <c r="F79" i="1"/>
  <c r="F63" i="1"/>
  <c r="F55" i="1"/>
  <c r="F47" i="1"/>
  <c r="F31" i="1"/>
  <c r="F23" i="1"/>
  <c r="F15" i="1"/>
  <c r="F302" i="1"/>
  <c r="F294" i="1"/>
  <c r="F286" i="1"/>
  <c r="F278" i="1"/>
  <c r="F270" i="1"/>
  <c r="F262" i="1"/>
  <c r="F254" i="1"/>
  <c r="F238" i="1"/>
  <c r="F222" i="1"/>
  <c r="F206" i="1"/>
  <c r="F198" i="1"/>
  <c r="F158" i="1"/>
  <c r="F142" i="1"/>
  <c r="F134" i="1"/>
  <c r="F126" i="1"/>
  <c r="F118" i="1"/>
  <c r="D118" i="1" s="1"/>
  <c r="F110" i="1"/>
  <c r="F102" i="1"/>
  <c r="F94" i="1"/>
  <c r="F86" i="1"/>
  <c r="F70" i="1"/>
  <c r="F62" i="1"/>
  <c r="F54" i="1"/>
  <c r="F46" i="1"/>
  <c r="F30" i="1"/>
  <c r="F22" i="1"/>
  <c r="F14" i="1"/>
  <c r="I229" i="1"/>
  <c r="I262" i="1"/>
  <c r="I245" i="1"/>
  <c r="I117" i="1"/>
  <c r="I101" i="1"/>
  <c r="I85" i="1"/>
  <c r="F301" i="1"/>
  <c r="F293" i="1"/>
  <c r="F285" i="1"/>
  <c r="F277" i="1"/>
  <c r="H277" i="1" s="1"/>
  <c r="F269" i="1"/>
  <c r="F261" i="1"/>
  <c r="F253" i="1"/>
  <c r="F237" i="1"/>
  <c r="F229" i="1"/>
  <c r="F221" i="1"/>
  <c r="F213" i="1"/>
  <c r="F205" i="1"/>
  <c r="F181" i="1"/>
  <c r="F173" i="1"/>
  <c r="F157" i="1"/>
  <c r="F149" i="1"/>
  <c r="F141" i="1"/>
  <c r="F125" i="1"/>
  <c r="F109" i="1"/>
  <c r="F77" i="1"/>
  <c r="F69" i="1"/>
  <c r="F61" i="1"/>
  <c r="F53" i="1"/>
  <c r="F45" i="1"/>
  <c r="F29" i="1"/>
  <c r="F13" i="1"/>
  <c r="I71" i="1"/>
  <c r="I166" i="1"/>
  <c r="I165" i="1"/>
  <c r="I135" i="1"/>
  <c r="I95" i="1"/>
  <c r="I39" i="1"/>
  <c r="I167" i="1"/>
  <c r="I191" i="1"/>
  <c r="I38" i="1"/>
  <c r="I295" i="1"/>
  <c r="I207" i="1"/>
  <c r="I271" i="1"/>
  <c r="I239" i="1"/>
  <c r="I143" i="1"/>
  <c r="I279" i="1"/>
  <c r="I278" i="1"/>
  <c r="I247" i="1"/>
  <c r="I215" i="1"/>
  <c r="I183" i="1"/>
  <c r="I246" i="1"/>
  <c r="I214" i="1"/>
  <c r="I182" i="1"/>
  <c r="I150" i="1"/>
  <c r="I26" i="1"/>
  <c r="I243" i="1"/>
  <c r="I139" i="1"/>
  <c r="I99" i="1"/>
  <c r="I83" i="1"/>
  <c r="I242" i="1"/>
  <c r="I218" i="1"/>
  <c r="I194" i="1"/>
  <c r="I138" i="1"/>
  <c r="I130" i="1"/>
  <c r="I82" i="1"/>
  <c r="I296" i="1"/>
  <c r="I288" i="1"/>
  <c r="I192" i="1"/>
  <c r="I168" i="1"/>
  <c r="I144" i="1"/>
  <c r="I112" i="1"/>
  <c r="I199" i="1"/>
  <c r="I111" i="1"/>
  <c r="I103" i="1"/>
  <c r="I55" i="1"/>
  <c r="I206" i="1"/>
  <c r="I174" i="1"/>
  <c r="I158" i="1"/>
  <c r="I118" i="1"/>
  <c r="I110" i="1"/>
  <c r="I102" i="1"/>
  <c r="I54" i="1"/>
  <c r="I277" i="1"/>
  <c r="I261" i="1"/>
  <c r="I53" i="1"/>
  <c r="I45" i="1"/>
  <c r="I29" i="1"/>
  <c r="I21" i="1"/>
  <c r="I268" i="1"/>
  <c r="I244" i="1"/>
  <c r="I108" i="1"/>
  <c r="D16" i="1" l="1"/>
  <c r="D10" i="1"/>
  <c r="H99" i="1"/>
  <c r="D168" i="1"/>
  <c r="C22" i="6"/>
  <c r="E22" i="6" s="1"/>
  <c r="H21" i="6"/>
  <c r="F21" i="6"/>
  <c r="D17" i="6"/>
  <c r="E20" i="6"/>
  <c r="E19" i="6"/>
  <c r="E21" i="6"/>
  <c r="E18" i="6"/>
  <c r="E10" i="6"/>
  <c r="C13" i="6"/>
  <c r="F12" i="6"/>
  <c r="E12" i="6"/>
  <c r="G12" i="6"/>
  <c r="H12" i="6"/>
  <c r="D8" i="6"/>
  <c r="D12" i="6" s="1"/>
  <c r="E9" i="6"/>
  <c r="H103" i="1"/>
  <c r="C10" i="1"/>
  <c r="D143" i="1"/>
  <c r="D288" i="1"/>
  <c r="D144" i="1"/>
  <c r="D21" i="1"/>
  <c r="D296" i="1"/>
  <c r="H261" i="1"/>
  <c r="D54" i="1"/>
  <c r="E8" i="2"/>
  <c r="H199" i="1"/>
  <c r="E12" i="2"/>
  <c r="E11" i="2"/>
  <c r="E9" i="2"/>
  <c r="D53" i="1"/>
  <c r="H174" i="1"/>
  <c r="H206" i="1"/>
  <c r="H8" i="1"/>
  <c r="C12" i="5" s="1" a="1"/>
  <c r="H108" i="1"/>
  <c r="D138" i="1"/>
  <c r="D242" i="1"/>
  <c r="D194" i="1"/>
  <c r="D89" i="1"/>
  <c r="D258" i="1"/>
  <c r="H254" i="1"/>
  <c r="H118" i="1"/>
  <c r="H9" i="1"/>
  <c r="C13" i="5" s="1" a="1"/>
  <c r="H143" i="1"/>
  <c r="D186" i="1"/>
  <c r="H186" i="1"/>
  <c r="D90" i="1"/>
  <c r="D277" i="1"/>
  <c r="D278" i="1"/>
  <c r="D260" i="1"/>
  <c r="H260" i="1"/>
  <c r="D254" i="1"/>
  <c r="H296" i="1"/>
  <c r="D106" i="1"/>
  <c r="D159" i="1"/>
  <c r="D270" i="1"/>
  <c r="H269" i="1"/>
  <c r="H270" i="1"/>
  <c r="D269" i="1"/>
  <c r="H159" i="1"/>
  <c r="D250" i="1"/>
  <c r="H210" i="1"/>
  <c r="H89" i="1"/>
  <c r="D297" i="1"/>
  <c r="D9" i="1"/>
  <c r="D261" i="1"/>
  <c r="D181" i="1"/>
  <c r="D279" i="1"/>
  <c r="H302" i="1"/>
  <c r="D206" i="1"/>
  <c r="H106" i="1"/>
  <c r="D245" i="1"/>
  <c r="H245" i="1"/>
  <c r="H39" i="1"/>
  <c r="D56" i="1"/>
  <c r="D63" i="1"/>
  <c r="D85" i="1"/>
  <c r="D123" i="1"/>
  <c r="D211" i="1"/>
  <c r="D208" i="1"/>
  <c r="H142" i="1"/>
  <c r="H168" i="1"/>
  <c r="H240" i="1"/>
  <c r="D141" i="1"/>
  <c r="H63" i="1"/>
  <c r="D224" i="1"/>
  <c r="H197" i="1"/>
  <c r="D64" i="1"/>
  <c r="D197" i="1"/>
  <c r="H222" i="1"/>
  <c r="D222" i="1"/>
  <c r="H90" i="1"/>
  <c r="H64" i="1"/>
  <c r="H33" i="1"/>
  <c r="H217" i="1"/>
  <c r="H213" i="1"/>
  <c r="D30" i="1"/>
  <c r="D86" i="1"/>
  <c r="H40" i="1"/>
  <c r="H290" i="1"/>
  <c r="D271" i="1"/>
  <c r="H133" i="1"/>
  <c r="D38" i="1"/>
  <c r="H54" i="1"/>
  <c r="H278" i="1"/>
  <c r="H258" i="1"/>
  <c r="H10" i="1"/>
  <c r="D39" i="1"/>
  <c r="H279" i="1"/>
  <c r="D223" i="1"/>
  <c r="H56" i="1"/>
  <c r="D70" i="1"/>
  <c r="H70" i="1"/>
  <c r="D166" i="1"/>
  <c r="H190" i="1"/>
  <c r="H211" i="1"/>
  <c r="H14" i="1"/>
  <c r="D190" i="1"/>
  <c r="D205" i="1"/>
  <c r="H181" i="1"/>
  <c r="H205" i="1"/>
  <c r="D142" i="1"/>
  <c r="H185" i="1"/>
  <c r="D216" i="1"/>
  <c r="D116" i="1"/>
  <c r="H37" i="1"/>
  <c r="D14" i="1"/>
  <c r="H38" i="1"/>
  <c r="D238" i="1"/>
  <c r="D290" i="1"/>
  <c r="H283" i="1"/>
  <c r="H169" i="1"/>
  <c r="D300" i="1"/>
  <c r="H246" i="1"/>
  <c r="H223" i="1"/>
  <c r="H204" i="1"/>
  <c r="H93" i="1"/>
  <c r="H285" i="1"/>
  <c r="D231" i="1"/>
  <c r="D40" i="1"/>
  <c r="H113" i="1"/>
  <c r="H252" i="1"/>
  <c r="H28" i="1"/>
  <c r="H59" i="1"/>
  <c r="H195" i="1"/>
  <c r="D180" i="1"/>
  <c r="H109" i="1"/>
  <c r="H11" i="1"/>
  <c r="H123" i="1"/>
  <c r="H84" i="1"/>
  <c r="H236" i="1"/>
  <c r="H92" i="1"/>
  <c r="H81" i="1"/>
  <c r="H69" i="1"/>
  <c r="H307" i="1"/>
  <c r="H124" i="1"/>
  <c r="H267" i="1"/>
  <c r="H291" i="1"/>
  <c r="H77" i="1"/>
  <c r="H102" i="1"/>
  <c r="H29" i="1"/>
  <c r="H111" i="1"/>
  <c r="H161" i="1"/>
  <c r="H156" i="1"/>
  <c r="D229" i="1"/>
  <c r="D301" i="1"/>
  <c r="D47" i="1"/>
  <c r="D175" i="1"/>
  <c r="H224" i="1"/>
  <c r="D272" i="1"/>
  <c r="H138" i="1"/>
  <c r="D264" i="1"/>
  <c r="D94" i="1"/>
  <c r="D191" i="1"/>
  <c r="D67" i="1"/>
  <c r="D280" i="1"/>
  <c r="D17" i="1"/>
  <c r="D201" i="1"/>
  <c r="D233" i="1"/>
  <c r="D241" i="1"/>
  <c r="H276" i="1"/>
  <c r="D198" i="1"/>
  <c r="D66" i="1"/>
  <c r="H198" i="1"/>
  <c r="H182" i="1"/>
  <c r="D185" i="1"/>
  <c r="H241" i="1"/>
  <c r="H44" i="1"/>
  <c r="D128" i="1"/>
  <c r="D152" i="1"/>
  <c r="H272" i="1"/>
  <c r="D162" i="1"/>
  <c r="D265" i="1"/>
  <c r="H180" i="1"/>
  <c r="D12" i="1"/>
  <c r="H114" i="1"/>
  <c r="D287" i="1"/>
  <c r="H130" i="1"/>
  <c r="D149" i="1"/>
  <c r="D158" i="1"/>
  <c r="H23" i="1"/>
  <c r="D79" i="1"/>
  <c r="D255" i="1"/>
  <c r="D96" i="1"/>
  <c r="D155" i="1"/>
  <c r="H259" i="1"/>
  <c r="D291" i="1"/>
  <c r="D33" i="1"/>
  <c r="D109" i="1"/>
  <c r="D125" i="1"/>
  <c r="D294" i="1"/>
  <c r="D151" i="1"/>
  <c r="H207" i="1"/>
  <c r="D256" i="1"/>
  <c r="D289" i="1"/>
  <c r="D34" i="1"/>
  <c r="D75" i="1"/>
  <c r="D91" i="1"/>
  <c r="H139" i="1"/>
  <c r="D259" i="1"/>
  <c r="D275" i="1"/>
  <c r="H140" i="1"/>
  <c r="H193" i="1"/>
  <c r="D134" i="1"/>
  <c r="D119" i="1"/>
  <c r="D266" i="1"/>
  <c r="D46" i="1"/>
  <c r="H166" i="1"/>
  <c r="D246" i="1"/>
  <c r="H119" i="1"/>
  <c r="D176" i="1"/>
  <c r="H157" i="1"/>
  <c r="D126" i="1"/>
  <c r="H155" i="1"/>
  <c r="H301" i="1"/>
  <c r="H15" i="1"/>
  <c r="D88" i="1"/>
  <c r="H304" i="1"/>
  <c r="H66" i="1"/>
  <c r="H266" i="1"/>
  <c r="H172" i="1"/>
  <c r="D13" i="1"/>
  <c r="H85" i="1"/>
  <c r="H101" i="1"/>
  <c r="H221" i="1"/>
  <c r="D253" i="1"/>
  <c r="D65" i="1"/>
  <c r="D15" i="1"/>
  <c r="H88" i="1"/>
  <c r="H176" i="1"/>
  <c r="H248" i="1"/>
  <c r="D58" i="1"/>
  <c r="D235" i="1"/>
  <c r="H19" i="1"/>
  <c r="D35" i="1"/>
  <c r="D60" i="1"/>
  <c r="H116" i="1"/>
  <c r="D148" i="1"/>
  <c r="H292" i="1"/>
  <c r="H41" i="1"/>
  <c r="H160" i="1"/>
  <c r="D200" i="1"/>
  <c r="H43" i="1"/>
  <c r="D105" i="1"/>
  <c r="D68" i="1"/>
  <c r="D221" i="1"/>
  <c r="H201" i="1"/>
  <c r="H26" i="1"/>
  <c r="D178" i="1"/>
  <c r="H107" i="1"/>
  <c r="H171" i="1"/>
  <c r="D203" i="1"/>
  <c r="D276" i="1"/>
  <c r="D41" i="1"/>
  <c r="H200" i="1"/>
  <c r="H288" i="1"/>
  <c r="D306" i="1"/>
  <c r="D51" i="1"/>
  <c r="H91" i="1"/>
  <c r="H52" i="1"/>
  <c r="D220" i="1"/>
  <c r="D227" i="1"/>
  <c r="H45" i="1"/>
  <c r="H214" i="1"/>
  <c r="D71" i="1"/>
  <c r="H303" i="1"/>
  <c r="H253" i="1"/>
  <c r="H128" i="1"/>
  <c r="D150" i="1"/>
  <c r="H294" i="1"/>
  <c r="H173" i="1"/>
  <c r="D22" i="1"/>
  <c r="H150" i="1"/>
  <c r="D20" i="1"/>
  <c r="D95" i="1"/>
  <c r="D295" i="1"/>
  <c r="D257" i="1"/>
  <c r="H154" i="1"/>
  <c r="H274" i="1"/>
  <c r="D163" i="1"/>
  <c r="D179" i="1"/>
  <c r="D251" i="1"/>
  <c r="H299" i="1"/>
  <c r="H60" i="1"/>
  <c r="H76" i="1"/>
  <c r="D156" i="1"/>
  <c r="D161" i="1"/>
  <c r="D209" i="1"/>
  <c r="H87" i="1"/>
  <c r="H287" i="1"/>
  <c r="D157" i="1"/>
  <c r="H134" i="1"/>
  <c r="H71" i="1"/>
  <c r="H255" i="1"/>
  <c r="H96" i="1"/>
  <c r="D169" i="1"/>
  <c r="H42" i="1"/>
  <c r="D183" i="1"/>
  <c r="D263" i="1"/>
  <c r="H295" i="1"/>
  <c r="D120" i="1"/>
  <c r="H256" i="1"/>
  <c r="H98" i="1"/>
  <c r="D226" i="1"/>
  <c r="H131" i="1"/>
  <c r="D147" i="1"/>
  <c r="D73" i="1"/>
  <c r="D92" i="1"/>
  <c r="D193" i="1"/>
  <c r="H237" i="1"/>
  <c r="H12" i="1"/>
  <c r="H21" i="1"/>
  <c r="D61" i="1"/>
  <c r="D77" i="1"/>
  <c r="D165" i="1"/>
  <c r="D213" i="1"/>
  <c r="H22" i="1"/>
  <c r="D62" i="1"/>
  <c r="H94" i="1"/>
  <c r="H286" i="1"/>
  <c r="H16" i="1"/>
  <c r="H48" i="1"/>
  <c r="H82" i="1"/>
  <c r="H68" i="1"/>
  <c r="D43" i="1"/>
  <c r="H219" i="1"/>
  <c r="D25" i="1"/>
  <c r="H305" i="1"/>
  <c r="H284" i="1"/>
  <c r="D293" i="1"/>
  <c r="D78" i="1"/>
  <c r="D182" i="1"/>
  <c r="D230" i="1"/>
  <c r="H262" i="1"/>
  <c r="H95" i="1"/>
  <c r="H175" i="1"/>
  <c r="D93" i="1"/>
  <c r="D133" i="1"/>
  <c r="H110" i="1"/>
  <c r="H20" i="1"/>
  <c r="D44" i="1"/>
  <c r="D87" i="1"/>
  <c r="H215" i="1"/>
  <c r="D303" i="1"/>
  <c r="D240" i="1"/>
  <c r="D26" i="1"/>
  <c r="D42" i="1"/>
  <c r="D210" i="1"/>
  <c r="J8" i="1"/>
  <c r="J9" i="1" s="1"/>
  <c r="J10" i="1" s="1"/>
  <c r="D59" i="1"/>
  <c r="D115" i="1"/>
  <c r="H251" i="1"/>
  <c r="H265" i="1"/>
  <c r="H273" i="1"/>
  <c r="D24" i="1"/>
  <c r="D72" i="1"/>
  <c r="D104" i="1"/>
  <c r="D136" i="1"/>
  <c r="D304" i="1"/>
  <c r="H17" i="1"/>
  <c r="H49" i="1"/>
  <c r="H58" i="1"/>
  <c r="H162" i="1"/>
  <c r="D19" i="1"/>
  <c r="H67" i="1"/>
  <c r="D131" i="1"/>
  <c r="H203" i="1"/>
  <c r="H243" i="1"/>
  <c r="H105" i="1"/>
  <c r="D124" i="1"/>
  <c r="D140" i="1"/>
  <c r="D252" i="1"/>
  <c r="D129" i="1"/>
  <c r="D97" i="1"/>
  <c r="H233" i="1"/>
  <c r="H135" i="1"/>
  <c r="D247" i="1"/>
  <c r="D184" i="1"/>
  <c r="H208" i="1"/>
  <c r="H257" i="1"/>
  <c r="H289" i="1"/>
  <c r="D74" i="1"/>
  <c r="D122" i="1"/>
  <c r="D170" i="1"/>
  <c r="H194" i="1"/>
  <c r="D298" i="1"/>
  <c r="D307" i="1"/>
  <c r="D145" i="1"/>
  <c r="D52" i="1"/>
  <c r="H220" i="1"/>
  <c r="H209" i="1"/>
  <c r="D281" i="1"/>
  <c r="H247" i="1"/>
  <c r="H72" i="1"/>
  <c r="H120" i="1"/>
  <c r="D232" i="1"/>
  <c r="H225" i="1"/>
  <c r="H234" i="1"/>
  <c r="H282" i="1"/>
  <c r="H35" i="1"/>
  <c r="D107" i="1"/>
  <c r="H73" i="1"/>
  <c r="D100" i="1"/>
  <c r="D81" i="1"/>
  <c r="H24" i="1"/>
  <c r="H104" i="1"/>
  <c r="H152" i="1"/>
  <c r="D225" i="1"/>
  <c r="D18" i="1"/>
  <c r="D202" i="1"/>
  <c r="D11" i="1"/>
  <c r="H51" i="1"/>
  <c r="H75" i="1"/>
  <c r="H163" i="1"/>
  <c r="H227" i="1"/>
  <c r="H275" i="1"/>
  <c r="H25" i="1"/>
  <c r="D305" i="1"/>
  <c r="D132" i="1"/>
  <c r="D212" i="1"/>
  <c r="H244" i="1"/>
  <c r="H249" i="1"/>
  <c r="H46" i="1"/>
  <c r="D31" i="1"/>
  <c r="D29" i="1"/>
  <c r="H80" i="1"/>
  <c r="H232" i="1"/>
  <c r="H153" i="1"/>
  <c r="H293" i="1"/>
  <c r="H31" i="1"/>
  <c r="H53" i="1"/>
  <c r="H30" i="1"/>
  <c r="D167" i="1"/>
  <c r="D45" i="1"/>
  <c r="H141" i="1"/>
  <c r="H189" i="1"/>
  <c r="H126" i="1"/>
  <c r="D174" i="1"/>
  <c r="D286" i="1"/>
  <c r="D199" i="1"/>
  <c r="H151" i="1"/>
  <c r="H239" i="1"/>
  <c r="H136" i="1"/>
  <c r="H184" i="1"/>
  <c r="H137" i="1"/>
  <c r="H50" i="1"/>
  <c r="H61" i="1"/>
  <c r="D101" i="1"/>
  <c r="H125" i="1"/>
  <c r="D173" i="1"/>
  <c r="D237" i="1"/>
  <c r="H158" i="1"/>
  <c r="H36" i="1"/>
  <c r="D23" i="1"/>
  <c r="H55" i="1"/>
  <c r="D127" i="1"/>
  <c r="D32" i="1"/>
  <c r="D48" i="1"/>
  <c r="H112" i="1"/>
  <c r="D160" i="1"/>
  <c r="H192" i="1"/>
  <c r="H280" i="1"/>
  <c r="D137" i="1"/>
  <c r="H121" i="1"/>
  <c r="H34" i="1"/>
  <c r="H74" i="1"/>
  <c r="D98" i="1"/>
  <c r="H122" i="1"/>
  <c r="D146" i="1"/>
  <c r="H170" i="1"/>
  <c r="H218" i="1"/>
  <c r="D274" i="1"/>
  <c r="H298" i="1"/>
  <c r="D217" i="1"/>
  <c r="H27" i="1"/>
  <c r="H83" i="1"/>
  <c r="D99" i="1"/>
  <c r="H235" i="1"/>
  <c r="H57" i="1"/>
  <c r="H177" i="1"/>
  <c r="D188" i="1"/>
  <c r="D76" i="1"/>
  <c r="H100" i="1"/>
  <c r="H148" i="1"/>
  <c r="H164" i="1"/>
  <c r="H196" i="1"/>
  <c r="H228" i="1"/>
  <c r="H268" i="1"/>
  <c r="D284" i="1"/>
  <c r="H300" i="1"/>
  <c r="D110" i="1"/>
  <c r="H167" i="1"/>
  <c r="D55" i="1"/>
  <c r="D248" i="1"/>
  <c r="D82" i="1"/>
  <c r="D234" i="1"/>
  <c r="D239" i="1"/>
  <c r="D50" i="1"/>
  <c r="D282" i="1"/>
  <c r="H115" i="1"/>
  <c r="D187" i="1"/>
  <c r="H149" i="1"/>
  <c r="H78" i="1"/>
  <c r="H230" i="1"/>
  <c r="H47" i="1"/>
  <c r="H127" i="1"/>
  <c r="H183" i="1"/>
  <c r="H231" i="1"/>
  <c r="H263" i="1"/>
  <c r="H32" i="1"/>
  <c r="H216" i="1"/>
  <c r="H264" i="1"/>
  <c r="H18" i="1"/>
  <c r="D114" i="1"/>
  <c r="H146" i="1"/>
  <c r="H178" i="1"/>
  <c r="H202" i="1"/>
  <c r="H226" i="1"/>
  <c r="H250" i="1"/>
  <c r="D27" i="1"/>
  <c r="D139" i="1"/>
  <c r="D171" i="1"/>
  <c r="H145" i="1"/>
  <c r="H132" i="1"/>
  <c r="H188" i="1"/>
  <c r="D204" i="1"/>
  <c r="D236" i="1"/>
  <c r="D113" i="1"/>
  <c r="D69" i="1"/>
  <c r="H281" i="1"/>
  <c r="D83" i="1"/>
  <c r="D195" i="1"/>
  <c r="D219" i="1"/>
  <c r="D267" i="1"/>
  <c r="H129" i="1"/>
  <c r="H297" i="1"/>
  <c r="H97" i="1"/>
  <c r="H242" i="1"/>
  <c r="D299" i="1"/>
  <c r="H65" i="1"/>
  <c r="D273" i="1"/>
  <c r="D36" i="1"/>
  <c r="D177" i="1"/>
  <c r="D84" i="1"/>
  <c r="D108" i="1"/>
  <c r="D172" i="1"/>
  <c r="D228" i="1"/>
  <c r="D268" i="1"/>
  <c r="D153" i="1"/>
  <c r="D164" i="1"/>
  <c r="D196" i="1"/>
  <c r="D244" i="1"/>
  <c r="D292" i="1"/>
  <c r="D189" i="1"/>
  <c r="D214" i="1"/>
  <c r="D117" i="1"/>
  <c r="D192" i="1"/>
  <c r="D285" i="1"/>
  <c r="D112" i="1"/>
  <c r="D130" i="1"/>
  <c r="H229" i="1"/>
  <c r="H62" i="1"/>
  <c r="H238" i="1"/>
  <c r="D262" i="1"/>
  <c r="D302" i="1"/>
  <c r="H79" i="1"/>
  <c r="D135" i="1"/>
  <c r="H191" i="1"/>
  <c r="H271" i="1"/>
  <c r="D283" i="1"/>
  <c r="D57" i="1"/>
  <c r="D111" i="1"/>
  <c r="D215" i="1"/>
  <c r="H144" i="1"/>
  <c r="D154" i="1"/>
  <c r="D49" i="1"/>
  <c r="D37" i="1"/>
  <c r="H117" i="1"/>
  <c r="H165" i="1"/>
  <c r="H86" i="1"/>
  <c r="D102" i="1"/>
  <c r="D103" i="1"/>
  <c r="D207" i="1"/>
  <c r="D80" i="1"/>
  <c r="D121" i="1"/>
  <c r="H147" i="1"/>
  <c r="H179" i="1"/>
  <c r="H212" i="1"/>
  <c r="H13" i="1"/>
  <c r="D28" i="1"/>
  <c r="D249" i="1"/>
  <c r="H306" i="1"/>
  <c r="H187" i="1"/>
  <c r="C11" i="1" l="1"/>
  <c r="B14" i="5" a="1"/>
  <c r="C14" i="5" s="1" a="1"/>
  <c r="H22" i="6"/>
  <c r="G22" i="6"/>
  <c r="F22" i="6"/>
  <c r="D18" i="6"/>
  <c r="D19" i="6"/>
  <c r="D21" i="6"/>
  <c r="D20" i="6"/>
  <c r="D22" i="6"/>
  <c r="D9" i="6"/>
  <c r="D11" i="6"/>
  <c r="D10" i="6"/>
  <c r="E13" i="6"/>
  <c r="F13" i="6"/>
  <c r="G13" i="6"/>
  <c r="D13" i="6"/>
  <c r="H13" i="6"/>
  <c r="E10" i="2"/>
  <c r="J11" i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E13" i="2"/>
  <c r="E6" i="2"/>
  <c r="E7" i="2" s="1"/>
  <c r="E14" i="2"/>
  <c r="C12" i="1" l="1"/>
  <c r="B15" i="5" a="1"/>
  <c r="C15" i="5" s="1" a="1"/>
  <c r="C13" i="1" l="1"/>
  <c r="B16" i="5" a="1"/>
  <c r="C16" i="5" l="1" a="1"/>
  <c r="C14" i="1"/>
  <c r="B17" i="5" a="1"/>
  <c r="C17" i="5" s="1" a="1"/>
  <c r="C15" i="1" l="1"/>
  <c r="B18" i="5" a="1"/>
  <c r="C18" i="5" s="1" a="1"/>
  <c r="C16" i="1" l="1"/>
  <c r="B19" i="5" a="1"/>
  <c r="C19" i="5" s="1" a="1"/>
  <c r="C17" i="1" l="1"/>
  <c r="B20" i="5" a="1"/>
  <c r="C20" i="5" s="1" a="1"/>
  <c r="C18" i="1" l="1"/>
  <c r="B21" i="5" a="1"/>
  <c r="C21" i="5" s="1" a="1"/>
  <c r="C19" i="1" l="1"/>
  <c r="B22" i="5" a="1"/>
  <c r="C22" i="5" s="1" a="1"/>
  <c r="C20" i="1" l="1"/>
  <c r="B23" i="5" a="1"/>
  <c r="C23" i="5" s="1" a="1"/>
  <c r="C21" i="1" l="1"/>
  <c r="B24" i="5" a="1"/>
  <c r="C24" i="5" s="1" a="1"/>
  <c r="C22" i="1" l="1"/>
  <c r="B25" i="5" a="1"/>
  <c r="C25" i="5" s="1" a="1"/>
  <c r="C23" i="1" l="1"/>
  <c r="B26" i="5" a="1"/>
  <c r="C26" i="5" s="1" a="1"/>
  <c r="C24" i="1" l="1"/>
  <c r="B27" i="5" a="1"/>
  <c r="C27" i="5" s="1" a="1"/>
  <c r="C25" i="1" l="1"/>
  <c r="B28" i="5" a="1"/>
  <c r="C28" i="5" s="1" a="1"/>
  <c r="C26" i="1" l="1"/>
  <c r="B29" i="5" a="1"/>
  <c r="C29" i="5" s="1" a="1"/>
  <c r="C27" i="1" l="1"/>
  <c r="B30" i="5" a="1"/>
  <c r="C30" i="5" s="1" a="1"/>
  <c r="C28" i="1" l="1"/>
  <c r="B31" i="5" a="1"/>
  <c r="C31" i="5" s="1" a="1"/>
  <c r="C29" i="1" l="1"/>
  <c r="B32" i="5" a="1"/>
  <c r="C32" i="5" s="1" a="1"/>
  <c r="C30" i="1" l="1"/>
  <c r="B33" i="5" a="1"/>
  <c r="C33" i="5" s="1" a="1"/>
  <c r="C31" i="1" l="1"/>
  <c r="B34" i="5" a="1"/>
  <c r="C34" i="5" s="1" a="1"/>
  <c r="C32" i="1" l="1"/>
  <c r="B35" i="5" a="1"/>
  <c r="C35" i="5" s="1" a="1"/>
  <c r="C33" i="1" l="1"/>
  <c r="B36" i="5" a="1"/>
  <c r="C36" i="5" s="1" a="1"/>
  <c r="C34" i="1" l="1"/>
  <c r="B37" i="5" a="1"/>
  <c r="C37" i="5" s="1" a="1"/>
  <c r="C35" i="1" l="1"/>
  <c r="B38" i="5" a="1"/>
  <c r="C38" i="5" s="1" a="1"/>
  <c r="C36" i="1" l="1"/>
  <c r="B39" i="5" a="1"/>
  <c r="C39" i="5" s="1" a="1"/>
  <c r="C37" i="1" l="1"/>
  <c r="B40" i="5" a="1"/>
  <c r="C40" i="5" s="1" a="1"/>
  <c r="C38" i="1" l="1"/>
  <c r="B41" i="5" a="1"/>
  <c r="C41" i="5" s="1" a="1"/>
  <c r="C39" i="1" l="1"/>
  <c r="B42" i="5" a="1"/>
  <c r="C42" i="5" s="1" a="1"/>
  <c r="C40" i="1" l="1"/>
  <c r="B43" i="5" a="1"/>
  <c r="C43" i="5" s="1" a="1"/>
  <c r="C41" i="1" l="1"/>
  <c r="B44" i="5" a="1"/>
  <c r="C44" i="5" s="1" a="1"/>
  <c r="C42" i="1" l="1"/>
  <c r="B45" i="5" a="1"/>
  <c r="C45" i="5" s="1" a="1"/>
  <c r="C43" i="1" l="1"/>
  <c r="B46" i="5" a="1"/>
  <c r="C46" i="5" s="1" a="1"/>
  <c r="C44" i="1" l="1"/>
  <c r="B47" i="5" a="1"/>
  <c r="C47" i="5" s="1" a="1"/>
  <c r="C45" i="1" l="1"/>
  <c r="B48" i="5" a="1"/>
  <c r="C48" i="5" s="1" a="1"/>
  <c r="C46" i="1" l="1"/>
  <c r="B49" i="5" a="1"/>
  <c r="C49" i="5" s="1" a="1"/>
  <c r="C47" i="1" l="1"/>
  <c r="B50" i="5" a="1"/>
  <c r="C50" i="5" s="1" a="1"/>
  <c r="C48" i="1" l="1"/>
  <c r="B51" i="5" a="1"/>
  <c r="C51" i="5" s="1" a="1"/>
  <c r="C49" i="1" l="1"/>
  <c r="B52" i="5" a="1"/>
  <c r="C52" i="5" s="1" a="1"/>
  <c r="C50" i="1" l="1"/>
  <c r="B53" i="5" a="1"/>
  <c r="C53" i="5" s="1" a="1"/>
  <c r="C51" i="1" l="1"/>
  <c r="B54" i="5" a="1"/>
  <c r="C54" i="5" s="1" a="1"/>
  <c r="C52" i="1" l="1"/>
  <c r="B55" i="5" a="1"/>
  <c r="C55" i="5" s="1" a="1"/>
  <c r="C53" i="1" l="1"/>
  <c r="B56" i="5" a="1"/>
  <c r="C56" i="5" s="1" a="1"/>
  <c r="C54" i="1" l="1"/>
  <c r="B57" i="5" a="1"/>
  <c r="C57" i="5" s="1" a="1"/>
  <c r="C55" i="1" l="1"/>
  <c r="B58" i="5" a="1"/>
  <c r="C58" i="5" s="1" a="1"/>
  <c r="C56" i="1" l="1"/>
  <c r="B59" i="5" a="1"/>
  <c r="C59" i="5" s="1" a="1"/>
  <c r="C57" i="1" l="1"/>
  <c r="B60" i="5" a="1"/>
  <c r="C60" i="5" s="1" a="1"/>
  <c r="C58" i="1" l="1"/>
  <c r="B61" i="5" a="1"/>
  <c r="C61" i="5" s="1" a="1"/>
  <c r="C59" i="1" l="1"/>
  <c r="B62" i="5" a="1"/>
  <c r="C62" i="5" s="1" a="1"/>
  <c r="C60" i="1" l="1"/>
  <c r="B63" i="5" a="1"/>
  <c r="C63" i="5" s="1" a="1"/>
  <c r="C61" i="1" l="1"/>
  <c r="B64" i="5" a="1"/>
  <c r="C64" i="5" s="1" a="1"/>
  <c r="C62" i="1" l="1"/>
  <c r="B65" i="5" a="1"/>
  <c r="C65" i="5" s="1" a="1"/>
  <c r="C63" i="1" l="1"/>
  <c r="B66" i="5" a="1"/>
  <c r="C66" i="5" s="1" a="1"/>
  <c r="C64" i="1" l="1"/>
  <c r="B67" i="5" a="1"/>
  <c r="C67" i="5" s="1" a="1"/>
  <c r="C65" i="1" l="1"/>
  <c r="B68" i="5" a="1"/>
  <c r="C68" i="5" s="1" a="1"/>
  <c r="C66" i="1" l="1"/>
  <c r="B69" i="5" a="1"/>
  <c r="C69" i="5" s="1" a="1"/>
  <c r="C67" i="1" l="1"/>
  <c r="B70" i="5" a="1"/>
  <c r="C70" i="5" s="1" a="1"/>
  <c r="C68" i="1" l="1"/>
  <c r="B71" i="5" a="1"/>
  <c r="C71" i="5" s="1" a="1"/>
  <c r="C69" i="1" l="1"/>
  <c r="B72" i="5" a="1"/>
  <c r="C72" i="5" s="1" a="1"/>
  <c r="C70" i="1" l="1"/>
  <c r="B73" i="5" a="1"/>
  <c r="C73" i="5" s="1" a="1"/>
  <c r="C71" i="1" l="1"/>
  <c r="B74" i="5" a="1"/>
  <c r="C74" i="5" s="1" a="1"/>
  <c r="C72" i="1" l="1"/>
  <c r="B75" i="5" a="1"/>
  <c r="C75" i="5" s="1" a="1"/>
  <c r="C73" i="1" l="1"/>
  <c r="B76" i="5" a="1"/>
  <c r="C76" i="5" s="1" a="1"/>
  <c r="C74" i="1" l="1"/>
  <c r="B77" i="5" a="1"/>
  <c r="C77" i="5" s="1" a="1"/>
  <c r="C75" i="1" l="1"/>
  <c r="B78" i="5" a="1"/>
  <c r="C78" i="5" s="1" a="1"/>
  <c r="C76" i="1" l="1"/>
  <c r="B79" i="5" a="1"/>
  <c r="C79" i="5" s="1" a="1"/>
  <c r="C77" i="1" l="1"/>
  <c r="B80" i="5" a="1"/>
  <c r="C80" i="5" s="1" a="1"/>
  <c r="C78" i="1" l="1"/>
  <c r="B81" i="5" a="1"/>
  <c r="C81" i="5" s="1" a="1"/>
  <c r="C79" i="1" l="1"/>
  <c r="B82" i="5" a="1"/>
  <c r="C82" i="5" s="1" a="1"/>
  <c r="C80" i="1" l="1"/>
  <c r="B83" i="5" a="1"/>
  <c r="C83" i="5" s="1" a="1"/>
  <c r="C81" i="1" l="1"/>
  <c r="B84" i="5" a="1"/>
  <c r="C84" i="5" s="1" a="1"/>
  <c r="C82" i="1" l="1"/>
  <c r="B85" i="5" a="1"/>
  <c r="C85" i="5" s="1" a="1"/>
  <c r="C83" i="1" l="1"/>
  <c r="B86" i="5" a="1"/>
  <c r="C86" i="5" s="1" a="1"/>
  <c r="C84" i="1" l="1"/>
  <c r="B87" i="5" a="1"/>
  <c r="C87" i="5" s="1" a="1"/>
  <c r="C85" i="1" l="1"/>
  <c r="B88" i="5" a="1"/>
  <c r="C88" i="5" s="1" a="1"/>
  <c r="C86" i="1" l="1"/>
  <c r="B89" i="5" a="1"/>
  <c r="C89" i="5" s="1" a="1"/>
  <c r="C87" i="1" l="1"/>
  <c r="B90" i="5" a="1"/>
  <c r="C90" i="5" s="1" a="1"/>
  <c r="C88" i="1" l="1"/>
  <c r="B91" i="5" a="1"/>
  <c r="C91" i="5" s="1" a="1"/>
  <c r="C89" i="1" l="1"/>
  <c r="B92" i="5" a="1"/>
  <c r="C92" i="5" s="1" a="1"/>
  <c r="C90" i="1" l="1"/>
  <c r="B93" i="5" a="1"/>
  <c r="C93" i="5" s="1" a="1"/>
  <c r="C91" i="1" l="1"/>
  <c r="B94" i="5" a="1"/>
  <c r="C94" i="5" s="1" a="1"/>
  <c r="C92" i="1" l="1"/>
  <c r="B95" i="5" a="1"/>
  <c r="C95" i="5" s="1" a="1"/>
  <c r="C93" i="1" l="1"/>
  <c r="B96" i="5" a="1"/>
  <c r="C96" i="5" s="1" a="1"/>
  <c r="C94" i="1" l="1"/>
  <c r="B97" i="5" a="1"/>
  <c r="C97" i="5" s="1" a="1"/>
  <c r="C95" i="1" l="1"/>
  <c r="B98" i="5" a="1"/>
  <c r="C98" i="5" s="1" a="1"/>
  <c r="C96" i="1" l="1"/>
  <c r="B99" i="5" a="1"/>
  <c r="C99" i="5" s="1" a="1"/>
  <c r="C97" i="1" l="1"/>
  <c r="B100" i="5" a="1"/>
  <c r="C100" i="5" s="1" a="1"/>
  <c r="C98" i="1" l="1"/>
  <c r="B101" i="5" a="1"/>
  <c r="C101" i="5" s="1" a="1"/>
  <c r="C99" i="1" l="1"/>
  <c r="B102" i="5" a="1"/>
  <c r="C102" i="5" s="1" a="1"/>
  <c r="C100" i="1" l="1"/>
  <c r="B103" i="5" a="1"/>
  <c r="C103" i="5" s="1" a="1"/>
  <c r="C101" i="1" l="1"/>
  <c r="B104" i="5" a="1"/>
  <c r="C104" i="5" s="1" a="1"/>
  <c r="C102" i="1" l="1"/>
  <c r="B105" i="5" a="1"/>
  <c r="C105" i="5" s="1" a="1"/>
  <c r="C103" i="1" l="1"/>
  <c r="B106" i="5" a="1"/>
  <c r="C106" i="5" s="1" a="1"/>
  <c r="C104" i="1" l="1"/>
  <c r="B107" i="5" a="1"/>
  <c r="C107" i="5" s="1" a="1"/>
  <c r="C105" i="1" l="1"/>
  <c r="B108" i="5" a="1"/>
  <c r="C108" i="5" s="1" a="1"/>
  <c r="C106" i="1" l="1"/>
  <c r="B109" i="5" a="1"/>
  <c r="C109" i="5" s="1" a="1"/>
  <c r="C107" i="1" l="1"/>
  <c r="B110" i="5" a="1"/>
  <c r="C110" i="5" s="1" a="1"/>
  <c r="C108" i="1" l="1"/>
  <c r="B111" i="5" a="1"/>
  <c r="C111" i="5" s="1" a="1"/>
  <c r="C109" i="1" l="1"/>
  <c r="B112" i="5" a="1"/>
  <c r="C112" i="5" s="1" a="1"/>
  <c r="C110" i="1" l="1"/>
  <c r="B113" i="5" a="1"/>
  <c r="C113" i="5" s="1" a="1"/>
  <c r="C111" i="1" l="1"/>
  <c r="B114" i="5" a="1"/>
  <c r="C114" i="5" s="1" a="1"/>
  <c r="C112" i="1" l="1"/>
  <c r="B115" i="5" a="1"/>
  <c r="C115" i="5" s="1" a="1"/>
  <c r="C113" i="1" l="1"/>
  <c r="B116" i="5" a="1"/>
  <c r="C116" i="5" s="1" a="1"/>
  <c r="C114" i="1" l="1"/>
  <c r="B117" i="5" a="1"/>
  <c r="C117" i="5" s="1" a="1"/>
  <c r="C115" i="1" l="1"/>
  <c r="B118" i="5" a="1"/>
  <c r="C118" i="5" s="1" a="1"/>
  <c r="C116" i="1" l="1"/>
  <c r="B119" i="5" a="1"/>
  <c r="C119" i="5" s="1" a="1"/>
  <c r="C117" i="1" l="1"/>
  <c r="B120" i="5" a="1"/>
  <c r="C120" i="5" s="1" a="1"/>
  <c r="C118" i="1" l="1"/>
  <c r="B121" i="5" a="1"/>
  <c r="C121" i="5" s="1" a="1"/>
  <c r="C119" i="1" l="1"/>
  <c r="B122" i="5" a="1"/>
  <c r="C122" i="5" s="1" a="1"/>
  <c r="C120" i="1" l="1"/>
  <c r="B123" i="5" a="1"/>
  <c r="C123" i="5" s="1" a="1"/>
  <c r="C121" i="1" l="1"/>
  <c r="B124" i="5" a="1"/>
  <c r="C124" i="5" s="1" a="1"/>
  <c r="C122" i="1" l="1"/>
  <c r="B125" i="5" a="1"/>
  <c r="C125" i="5" s="1" a="1"/>
  <c r="C123" i="1" l="1"/>
  <c r="B126" i="5" a="1"/>
  <c r="C126" i="5" s="1" a="1"/>
  <c r="C124" i="1" l="1"/>
  <c r="B127" i="5" a="1"/>
  <c r="C127" i="5" s="1" a="1"/>
  <c r="C125" i="1" l="1"/>
  <c r="B128" i="5" a="1"/>
  <c r="C128" i="5" s="1" a="1"/>
  <c r="C126" i="1" l="1"/>
  <c r="B129" i="5" a="1"/>
  <c r="C129" i="5" s="1" a="1"/>
  <c r="C127" i="1" l="1"/>
  <c r="B130" i="5" a="1"/>
  <c r="C130" i="5" s="1" a="1"/>
  <c r="C128" i="1" l="1"/>
  <c r="B131" i="5" a="1"/>
  <c r="C131" i="5" s="1" a="1"/>
  <c r="C129" i="1" l="1"/>
  <c r="B132" i="5" a="1"/>
  <c r="C132" i="5" s="1" a="1"/>
  <c r="C130" i="1" l="1"/>
  <c r="B133" i="5" a="1"/>
  <c r="C133" i="5" s="1" a="1"/>
  <c r="C131" i="1" l="1"/>
  <c r="B134" i="5" a="1"/>
  <c r="C134" i="5" s="1" a="1"/>
  <c r="C132" i="1" l="1"/>
  <c r="B135" i="5" a="1"/>
  <c r="C135" i="5" s="1" a="1"/>
  <c r="C133" i="1" l="1"/>
  <c r="B136" i="5" a="1"/>
  <c r="C136" i="5" s="1" a="1"/>
  <c r="C134" i="1" l="1"/>
  <c r="B137" i="5" a="1"/>
  <c r="C137" i="5" s="1" a="1"/>
  <c r="C135" i="1" l="1"/>
  <c r="B138" i="5" a="1"/>
  <c r="C138" i="5" s="1" a="1"/>
  <c r="C136" i="1" l="1"/>
  <c r="B139" i="5" a="1"/>
  <c r="C139" i="5" s="1" a="1"/>
  <c r="C137" i="1" l="1"/>
  <c r="B140" i="5" a="1"/>
  <c r="C140" i="5" s="1" a="1"/>
  <c r="C138" i="1" l="1"/>
  <c r="B141" i="5" a="1"/>
  <c r="C141" i="5" s="1" a="1"/>
  <c r="C139" i="1" l="1"/>
  <c r="B142" i="5" a="1"/>
  <c r="C142" i="5" s="1" a="1"/>
  <c r="C140" i="1" l="1"/>
  <c r="B143" i="5" a="1"/>
  <c r="C143" i="5" s="1" a="1"/>
  <c r="C141" i="1" l="1"/>
  <c r="B144" i="5" a="1"/>
  <c r="C144" i="5" s="1" a="1"/>
  <c r="C142" i="1" l="1"/>
  <c r="B145" i="5" a="1"/>
  <c r="C145" i="5" s="1" a="1"/>
  <c r="C143" i="1" l="1"/>
  <c r="B146" i="5" a="1"/>
  <c r="C146" i="5" s="1" a="1"/>
  <c r="C144" i="1" l="1"/>
  <c r="B147" i="5" a="1"/>
  <c r="C147" i="5" s="1" a="1"/>
  <c r="C145" i="1" l="1"/>
  <c r="B148" i="5" a="1"/>
  <c r="C148" i="5" s="1" a="1"/>
  <c r="C146" i="1" l="1"/>
  <c r="B149" i="5" a="1"/>
  <c r="C149" i="5" s="1" a="1"/>
  <c r="C147" i="1" l="1"/>
  <c r="B150" i="5" a="1"/>
  <c r="C150" i="5" s="1" a="1"/>
  <c r="C148" i="1" l="1"/>
  <c r="B151" i="5" a="1"/>
  <c r="C151" i="5" s="1" a="1"/>
  <c r="C149" i="1" l="1"/>
  <c r="B152" i="5" a="1"/>
  <c r="C152" i="5" s="1" a="1"/>
  <c r="C150" i="1" l="1"/>
  <c r="B153" i="5" a="1"/>
  <c r="C153" i="5" s="1" a="1"/>
  <c r="C151" i="1" l="1"/>
  <c r="B154" i="5" a="1"/>
  <c r="C154" i="5" s="1" a="1"/>
  <c r="C152" i="1" l="1"/>
  <c r="B155" i="5" a="1"/>
  <c r="C155" i="5" s="1" a="1"/>
  <c r="C153" i="1" l="1"/>
  <c r="B156" i="5" a="1"/>
  <c r="C156" i="5" s="1" a="1"/>
  <c r="C154" i="1" l="1"/>
  <c r="B157" i="5" a="1"/>
  <c r="C157" i="5" s="1" a="1"/>
  <c r="C155" i="1" l="1"/>
  <c r="B158" i="5" a="1"/>
  <c r="C158" i="5" s="1" a="1"/>
  <c r="C156" i="1" l="1"/>
  <c r="B159" i="5" a="1"/>
  <c r="C159" i="5" s="1" a="1"/>
  <c r="C157" i="1" l="1"/>
  <c r="B160" i="5" a="1"/>
  <c r="C160" i="5" s="1" a="1"/>
  <c r="C158" i="1" l="1"/>
  <c r="B161" i="5" a="1"/>
  <c r="C161" i="5" s="1" a="1"/>
  <c r="C159" i="1" l="1"/>
  <c r="B162" i="5" a="1"/>
  <c r="C162" i="5" s="1" a="1"/>
  <c r="C160" i="1" l="1"/>
  <c r="B163" i="5" a="1"/>
  <c r="C163" i="5" s="1" a="1"/>
  <c r="C161" i="1" l="1"/>
  <c r="B164" i="5" a="1"/>
  <c r="C164" i="5" s="1" a="1"/>
  <c r="C162" i="1" l="1"/>
  <c r="B165" i="5" a="1"/>
  <c r="C165" i="5" s="1" a="1"/>
  <c r="C163" i="1" l="1"/>
  <c r="B166" i="5" a="1"/>
  <c r="C166" i="5" s="1" a="1"/>
  <c r="C164" i="1" l="1"/>
  <c r="B167" i="5" a="1"/>
  <c r="C167" i="5" s="1" a="1"/>
  <c r="C165" i="1" l="1"/>
  <c r="B168" i="5" a="1"/>
  <c r="C168" i="5" s="1" a="1"/>
  <c r="C166" i="1" l="1"/>
  <c r="B169" i="5" a="1"/>
  <c r="C169" i="5" s="1" a="1"/>
  <c r="C167" i="1" l="1"/>
  <c r="B170" i="5" a="1"/>
  <c r="C170" i="5" s="1" a="1"/>
  <c r="C168" i="1" l="1"/>
  <c r="B171" i="5" a="1"/>
  <c r="C171" i="5" s="1" a="1"/>
  <c r="C169" i="1" l="1"/>
  <c r="B172" i="5" a="1"/>
  <c r="C172" i="5" s="1" a="1"/>
  <c r="C170" i="1" l="1"/>
  <c r="B173" i="5" a="1"/>
  <c r="C173" i="5" s="1" a="1"/>
  <c r="C171" i="1" l="1"/>
  <c r="B174" i="5" a="1"/>
  <c r="C174" i="5" s="1" a="1"/>
  <c r="C172" i="1" l="1"/>
  <c r="B175" i="5" a="1"/>
  <c r="C175" i="5" s="1" a="1"/>
  <c r="C173" i="1" l="1"/>
  <c r="B176" i="5" a="1"/>
  <c r="C176" i="5" s="1" a="1"/>
  <c r="C174" i="1" l="1"/>
  <c r="B177" i="5" a="1"/>
  <c r="C177" i="5" s="1" a="1"/>
  <c r="C175" i="1" l="1"/>
  <c r="B178" i="5" a="1"/>
  <c r="C178" i="5" s="1" a="1"/>
  <c r="C176" i="1" l="1"/>
  <c r="B179" i="5" a="1"/>
  <c r="C179" i="5" s="1" a="1"/>
  <c r="C177" i="1" l="1"/>
  <c r="B180" i="5" a="1"/>
  <c r="C180" i="5" s="1" a="1"/>
  <c r="C178" i="1" l="1"/>
  <c r="B181" i="5" a="1"/>
  <c r="C181" i="5" s="1" a="1"/>
  <c r="C179" i="1" l="1"/>
  <c r="B182" i="5" a="1"/>
  <c r="C182" i="5" s="1" a="1"/>
  <c r="C180" i="1" l="1"/>
  <c r="B183" i="5" a="1"/>
  <c r="C183" i="5" s="1" a="1"/>
  <c r="C181" i="1" l="1"/>
  <c r="B184" i="5" a="1"/>
  <c r="C184" i="5" s="1" a="1"/>
  <c r="C182" i="1" l="1"/>
  <c r="B185" i="5" a="1"/>
  <c r="C185" i="5" s="1" a="1"/>
  <c r="C183" i="1" l="1"/>
  <c r="B186" i="5" a="1"/>
  <c r="C186" i="5" s="1" a="1"/>
  <c r="C184" i="1" l="1"/>
  <c r="B187" i="5" a="1"/>
  <c r="C187" i="5" s="1" a="1"/>
  <c r="C185" i="1" l="1"/>
  <c r="B188" i="5" a="1"/>
  <c r="C188" i="5" s="1" a="1"/>
  <c r="C186" i="1" l="1"/>
  <c r="B189" i="5" a="1"/>
  <c r="C189" i="5" s="1" a="1"/>
  <c r="C187" i="1" l="1"/>
  <c r="B190" i="5" a="1"/>
  <c r="C190" i="5" s="1" a="1"/>
  <c r="C188" i="1" l="1"/>
  <c r="B191" i="5" a="1"/>
  <c r="C191" i="5" s="1" a="1"/>
  <c r="C189" i="1" l="1"/>
  <c r="B192" i="5" a="1"/>
  <c r="C192" i="5" s="1" a="1"/>
  <c r="C190" i="1" l="1"/>
  <c r="B193" i="5" a="1"/>
  <c r="C193" i="5" s="1" a="1"/>
  <c r="C191" i="1" l="1"/>
  <c r="B194" i="5" a="1"/>
  <c r="C194" i="5" s="1" a="1"/>
  <c r="C192" i="1" l="1"/>
  <c r="B195" i="5" a="1"/>
  <c r="C195" i="5" s="1" a="1"/>
  <c r="C193" i="1" l="1"/>
  <c r="B196" i="5" a="1"/>
  <c r="C196" i="5" s="1" a="1"/>
  <c r="C194" i="1" l="1"/>
  <c r="B197" i="5" a="1"/>
  <c r="C197" i="5" s="1" a="1"/>
  <c r="C195" i="1" l="1"/>
  <c r="B198" i="5" a="1"/>
  <c r="C198" i="5" s="1" a="1"/>
  <c r="C196" i="1" l="1"/>
  <c r="B199" i="5" a="1"/>
  <c r="C199" i="5" s="1" a="1"/>
  <c r="C197" i="1" l="1"/>
  <c r="B200" i="5" a="1"/>
  <c r="C200" i="5" s="1" a="1"/>
  <c r="C198" i="1" l="1"/>
  <c r="B201" i="5" a="1"/>
  <c r="C201" i="5" s="1" a="1"/>
  <c r="C199" i="1" l="1"/>
  <c r="B202" i="5" a="1"/>
  <c r="C202" i="5" s="1" a="1"/>
  <c r="C200" i="1" l="1"/>
  <c r="B203" i="5" a="1"/>
  <c r="C203" i="5" s="1" a="1"/>
  <c r="C201" i="1" l="1"/>
  <c r="B204" i="5" a="1"/>
  <c r="C204" i="5" s="1" a="1"/>
  <c r="C202" i="1" l="1"/>
  <c r="B205" i="5" a="1"/>
  <c r="C205" i="5" s="1" a="1"/>
  <c r="C203" i="1" l="1"/>
  <c r="B206" i="5" a="1"/>
  <c r="C206" i="5" s="1" a="1"/>
  <c r="C204" i="1" l="1"/>
  <c r="B207" i="5" a="1"/>
  <c r="C207" i="5" s="1" a="1"/>
  <c r="C205" i="1" l="1"/>
  <c r="B208" i="5" a="1"/>
  <c r="C208" i="5" s="1" a="1"/>
  <c r="C206" i="1" l="1"/>
  <c r="B209" i="5" a="1"/>
  <c r="C209" i="5" s="1" a="1"/>
  <c r="C207" i="1" l="1"/>
  <c r="B210" i="5" a="1"/>
  <c r="C210" i="5" s="1" a="1"/>
  <c r="C208" i="1" l="1"/>
  <c r="B211" i="5" a="1"/>
  <c r="C211" i="5" s="1" a="1"/>
  <c r="C209" i="1" l="1"/>
  <c r="B212" i="5" a="1"/>
  <c r="C212" i="5" s="1" a="1"/>
  <c r="C210" i="1" l="1"/>
  <c r="B213" i="5" a="1"/>
  <c r="C213" i="5" s="1" a="1"/>
  <c r="C211" i="1" l="1"/>
  <c r="B214" i="5" a="1"/>
  <c r="C214" i="5" s="1" a="1"/>
  <c r="C212" i="1" l="1"/>
  <c r="B215" i="5" a="1"/>
  <c r="C215" i="5" s="1" a="1"/>
  <c r="C213" i="1" l="1"/>
  <c r="B216" i="5" a="1"/>
  <c r="C216" i="5" s="1" a="1"/>
  <c r="C214" i="1" l="1"/>
  <c r="B217" i="5" a="1"/>
  <c r="C217" i="5" s="1" a="1"/>
  <c r="C215" i="1" l="1"/>
  <c r="B218" i="5" a="1"/>
  <c r="C218" i="5" s="1" a="1"/>
  <c r="C216" i="1" l="1"/>
  <c r="B219" i="5" a="1"/>
  <c r="C219" i="5" s="1" a="1"/>
  <c r="C217" i="1" l="1"/>
  <c r="B220" i="5" a="1"/>
  <c r="C220" i="5" s="1" a="1"/>
  <c r="C218" i="1" l="1"/>
  <c r="B221" i="5" a="1"/>
  <c r="C221" i="5" s="1" a="1"/>
  <c r="C219" i="1" l="1"/>
  <c r="B222" i="5" a="1"/>
  <c r="C222" i="5" s="1" a="1"/>
  <c r="C220" i="1" l="1"/>
  <c r="B223" i="5" a="1"/>
  <c r="C223" i="5" s="1" a="1"/>
  <c r="C221" i="1" l="1"/>
  <c r="B224" i="5" a="1"/>
  <c r="C224" i="5" s="1" a="1"/>
  <c r="C222" i="1" l="1"/>
  <c r="B225" i="5" a="1"/>
  <c r="C225" i="5" s="1" a="1"/>
  <c r="C223" i="1" l="1"/>
  <c r="B226" i="5" a="1"/>
  <c r="C226" i="5" s="1" a="1"/>
  <c r="C224" i="1" l="1"/>
  <c r="B227" i="5" a="1"/>
  <c r="C227" i="5" s="1" a="1"/>
  <c r="C225" i="1" l="1"/>
  <c r="B228" i="5" a="1"/>
  <c r="C228" i="5" s="1" a="1"/>
  <c r="C226" i="1" l="1"/>
  <c r="B229" i="5" a="1"/>
  <c r="C229" i="5" s="1" a="1"/>
  <c r="C227" i="1" l="1"/>
  <c r="B230" i="5" a="1"/>
  <c r="C230" i="5" s="1" a="1"/>
  <c r="C228" i="1" l="1"/>
  <c r="B231" i="5" a="1"/>
  <c r="C231" i="5" s="1" a="1"/>
  <c r="C229" i="1" l="1"/>
  <c r="B232" i="5" a="1"/>
  <c r="C232" i="5" s="1" a="1"/>
  <c r="C230" i="1" l="1"/>
  <c r="B233" i="5" a="1"/>
  <c r="C233" i="5" s="1" a="1"/>
  <c r="C231" i="1" l="1"/>
  <c r="B234" i="5" a="1"/>
  <c r="C234" i="5" s="1" a="1"/>
  <c r="C232" i="1" l="1"/>
  <c r="B235" i="5" a="1"/>
  <c r="C235" i="5" s="1" a="1"/>
  <c r="C233" i="1" l="1"/>
  <c r="B236" i="5" a="1"/>
  <c r="C236" i="5" s="1" a="1"/>
  <c r="C234" i="1" l="1"/>
  <c r="B237" i="5" a="1"/>
  <c r="C237" i="5" s="1" a="1"/>
  <c r="C235" i="1" l="1"/>
  <c r="B238" i="5" a="1"/>
  <c r="C238" i="5" s="1" a="1"/>
  <c r="C236" i="1" l="1"/>
  <c r="B239" i="5" a="1"/>
  <c r="C239" i="5" s="1" a="1"/>
  <c r="C237" i="1" l="1"/>
  <c r="B240" i="5" a="1"/>
  <c r="C240" i="5" s="1" a="1"/>
  <c r="C238" i="1" l="1"/>
  <c r="B241" i="5" a="1"/>
  <c r="C241" i="5" s="1" a="1"/>
  <c r="C239" i="1" l="1"/>
  <c r="B242" i="5" a="1"/>
  <c r="C242" i="5" s="1" a="1"/>
  <c r="C240" i="1" l="1"/>
  <c r="B243" i="5" a="1"/>
  <c r="C243" i="5" s="1" a="1"/>
  <c r="C241" i="1" l="1"/>
  <c r="B244" i="5" a="1"/>
  <c r="C244" i="5" s="1" a="1"/>
  <c r="C242" i="1" l="1"/>
  <c r="B245" i="5" a="1"/>
  <c r="C245" i="5" s="1" a="1"/>
  <c r="C243" i="1" l="1"/>
  <c r="B246" i="5" a="1"/>
  <c r="C246" i="5" s="1" a="1"/>
  <c r="C244" i="1" l="1"/>
  <c r="B247" i="5" a="1"/>
  <c r="C247" i="5" s="1" a="1"/>
  <c r="C245" i="1" l="1"/>
  <c r="B248" i="5" a="1"/>
  <c r="C248" i="5" s="1" a="1"/>
  <c r="C246" i="1" l="1"/>
  <c r="B249" i="5" a="1"/>
  <c r="C249" i="5" s="1" a="1"/>
  <c r="C247" i="1" l="1"/>
  <c r="B250" i="5" a="1"/>
  <c r="C250" i="5" s="1" a="1"/>
  <c r="C248" i="1" l="1"/>
  <c r="B251" i="5" a="1"/>
  <c r="C251" i="5" s="1" a="1"/>
  <c r="C249" i="1" l="1"/>
  <c r="B252" i="5" a="1"/>
  <c r="C252" i="5" s="1" a="1"/>
  <c r="C250" i="1" l="1"/>
  <c r="B253" i="5" a="1"/>
  <c r="C253" i="5" l="1" a="1"/>
  <c r="C251" i="1"/>
  <c r="B254" i="5" a="1"/>
  <c r="C254" i="5" s="1" a="1"/>
  <c r="C252" i="1" l="1"/>
  <c r="B255" i="5" a="1"/>
  <c r="C255" i="5" l="1" a="1"/>
  <c r="C253" i="1"/>
  <c r="B256" i="5" a="1"/>
  <c r="C256" i="5" s="1" a="1"/>
  <c r="C254" i="1" l="1"/>
  <c r="B257" i="5" a="1"/>
  <c r="C257" i="5" l="1" a="1"/>
  <c r="C255" i="1"/>
  <c r="B258" i="5" a="1"/>
  <c r="C258" i="5" s="1" a="1"/>
  <c r="C256" i="1" l="1"/>
  <c r="B259" i="5" a="1"/>
  <c r="C259" i="5" s="1" a="1"/>
  <c r="C257" i="1" l="1"/>
  <c r="B260" i="5" a="1"/>
  <c r="C260" i="5" s="1" a="1"/>
  <c r="C258" i="1" l="1"/>
  <c r="B261" i="5" a="1"/>
  <c r="C261" i="5" s="1" a="1"/>
  <c r="C259" i="1" l="1"/>
  <c r="B262" i="5" a="1"/>
  <c r="C262" i="5" s="1" a="1"/>
  <c r="C260" i="1" l="1"/>
  <c r="B263" i="5" a="1"/>
  <c r="C263" i="5" s="1" a="1"/>
  <c r="C261" i="1" l="1"/>
  <c r="B264" i="5" a="1"/>
  <c r="C264" i="5" s="1" a="1"/>
  <c r="C262" i="1" l="1"/>
  <c r="B265" i="5" a="1"/>
  <c r="C265" i="5" s="1" a="1"/>
  <c r="C263" i="1" l="1"/>
  <c r="B266" i="5" a="1"/>
  <c r="C266" i="5" s="1" a="1"/>
  <c r="C264" i="1" l="1"/>
  <c r="B267" i="5" a="1"/>
  <c r="C267" i="5" s="1" a="1"/>
  <c r="C265" i="1" l="1"/>
  <c r="B268" i="5" a="1"/>
  <c r="C268" i="5" s="1" a="1"/>
  <c r="C266" i="1" l="1"/>
  <c r="B269" i="5" a="1"/>
  <c r="C269" i="5" s="1" a="1"/>
  <c r="C267" i="1" l="1"/>
  <c r="B270" i="5" a="1"/>
  <c r="C270" i="5" s="1" a="1"/>
  <c r="C268" i="1" l="1"/>
  <c r="B271" i="5" a="1"/>
  <c r="C271" i="5" s="1" a="1"/>
  <c r="C269" i="1" l="1"/>
  <c r="B272" i="5" a="1"/>
  <c r="C272" i="5" s="1" a="1"/>
  <c r="C270" i="1" l="1"/>
  <c r="B273" i="5" a="1"/>
  <c r="C273" i="5" s="1" a="1"/>
  <c r="C271" i="1" l="1"/>
  <c r="B274" i="5" a="1"/>
  <c r="C274" i="5" s="1" a="1"/>
  <c r="C272" i="1" l="1"/>
  <c r="B275" i="5" a="1"/>
  <c r="C275" i="5" s="1" a="1"/>
  <c r="C273" i="1" l="1"/>
  <c r="B276" i="5" a="1"/>
  <c r="C276" i="5" s="1" a="1"/>
  <c r="C274" i="1" l="1"/>
  <c r="B277" i="5" a="1"/>
  <c r="C277" i="5" s="1" a="1"/>
  <c r="C275" i="1" l="1"/>
  <c r="B278" i="5" a="1"/>
  <c r="C278" i="5" s="1" a="1"/>
  <c r="C276" i="1" l="1"/>
  <c r="B279" i="5" a="1"/>
  <c r="C279" i="5" s="1" a="1"/>
  <c r="C277" i="1" l="1"/>
  <c r="B280" i="5" a="1"/>
  <c r="C280" i="5" s="1" a="1"/>
  <c r="C278" i="1" l="1"/>
  <c r="B281" i="5" a="1"/>
  <c r="C281" i="5" s="1" a="1"/>
  <c r="C279" i="1" l="1"/>
  <c r="B282" i="5" a="1"/>
  <c r="C282" i="5" s="1" a="1"/>
  <c r="C280" i="1" l="1"/>
  <c r="B283" i="5" a="1"/>
  <c r="C283" i="5" s="1" a="1"/>
  <c r="C281" i="1" l="1"/>
  <c r="B284" i="5" a="1"/>
  <c r="C284" i="5" s="1" a="1"/>
  <c r="C282" i="1" l="1"/>
  <c r="B285" i="5" a="1"/>
  <c r="C285" i="5" s="1" a="1"/>
  <c r="C283" i="1" l="1"/>
  <c r="B286" i="5" a="1"/>
  <c r="C286" i="5" s="1" a="1"/>
  <c r="C284" i="1" l="1"/>
  <c r="B287" i="5" a="1"/>
  <c r="C287" i="5" s="1" a="1"/>
  <c r="C285" i="1" l="1"/>
  <c r="B288" i="5" a="1"/>
  <c r="C288" i="5" s="1" a="1"/>
  <c r="C286" i="1" l="1"/>
  <c r="B289" i="5" a="1"/>
  <c r="C289" i="5" s="1" a="1"/>
  <c r="C287" i="1" l="1"/>
  <c r="B290" i="5" a="1"/>
  <c r="C290" i="5" s="1" a="1"/>
  <c r="C288" i="1" l="1"/>
  <c r="B291" i="5" a="1"/>
  <c r="C291" i="5" s="1" a="1"/>
  <c r="C289" i="1" l="1"/>
  <c r="B292" i="5" a="1"/>
  <c r="C292" i="5" s="1" a="1"/>
  <c r="C290" i="1" l="1"/>
  <c r="B293" i="5" a="1"/>
  <c r="C293" i="5" s="1" a="1"/>
  <c r="C291" i="1" l="1"/>
  <c r="B294" i="5" a="1"/>
  <c r="C294" i="5" s="1" a="1"/>
  <c r="C292" i="1" l="1"/>
  <c r="B295" i="5" a="1"/>
  <c r="C295" i="5" s="1" a="1"/>
  <c r="C293" i="1" l="1"/>
  <c r="B296" i="5" a="1"/>
  <c r="C296" i="5" s="1" a="1"/>
  <c r="C294" i="1" l="1"/>
  <c r="B297" i="5" a="1"/>
  <c r="C297" i="5" s="1" a="1"/>
  <c r="C295" i="1" l="1"/>
  <c r="B298" i="5" a="1"/>
  <c r="C298" i="5" s="1" a="1"/>
  <c r="C296" i="1" l="1"/>
  <c r="B299" i="5" a="1"/>
  <c r="C299" i="5" s="1" a="1"/>
  <c r="C297" i="1" l="1"/>
  <c r="B300" i="5" a="1"/>
  <c r="C300" i="5" s="1" a="1"/>
  <c r="C298" i="1" l="1"/>
  <c r="B301" i="5" a="1"/>
  <c r="C301" i="5" s="1" a="1"/>
  <c r="C299" i="1" l="1"/>
  <c r="B302" i="5" a="1"/>
  <c r="C302" i="5" s="1" a="1"/>
  <c r="C300" i="1" l="1"/>
  <c r="B303" i="5" a="1"/>
  <c r="C303" i="5" s="1" a="1"/>
  <c r="C301" i="1" l="1"/>
  <c r="B304" i="5" a="1"/>
  <c r="C304" i="5" s="1" a="1"/>
  <c r="C302" i="1" l="1"/>
  <c r="B305" i="5" a="1"/>
  <c r="C305" i="5" s="1" a="1"/>
  <c r="C303" i="1" l="1"/>
  <c r="B306" i="5" a="1"/>
  <c r="C306" i="5" s="1" a="1"/>
  <c r="C304" i="1" l="1"/>
  <c r="B307" i="5" a="1"/>
  <c r="C307" i="5" s="1" a="1"/>
  <c r="C305" i="1" l="1"/>
  <c r="B308" i="5" a="1"/>
  <c r="C308" i="5" s="1" a="1"/>
  <c r="C306" i="1" l="1"/>
  <c r="B309" i="5" a="1"/>
  <c r="C309" i="5" s="1" a="1"/>
  <c r="C307" i="1" l="1"/>
  <c r="B311" i="5" s="1" a="1"/>
  <c r="B310" i="5" a="1"/>
  <c r="C310" i="5" s="1" a="1"/>
  <c r="C311" i="5" l="1" a="1"/>
  <c r="C7" i="5" s="1"/>
  <c r="C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<sst xmlns="http://schemas.openxmlformats.org/spreadsheetml/2006/main" count="62" uniqueCount="46">
  <si>
    <t>Loan duration</t>
  </si>
  <si>
    <t>Loan principle</t>
  </si>
  <si>
    <t>Interest rate</t>
  </si>
  <si>
    <t>Insurance per month</t>
  </si>
  <si>
    <t>p.a.</t>
  </si>
  <si>
    <t>months</t>
  </si>
  <si>
    <t>EMI #</t>
  </si>
  <si>
    <t>Amortization start date</t>
  </si>
  <si>
    <t>Due date</t>
  </si>
  <si>
    <t>Total EMI</t>
  </si>
  <si>
    <t>Principle</t>
  </si>
  <si>
    <t>Interest</t>
  </si>
  <si>
    <t>EMI</t>
  </si>
  <si>
    <t>Insurance</t>
  </si>
  <si>
    <t>Rem. Principle</t>
  </si>
  <si>
    <t>Status</t>
  </si>
  <si>
    <t>Paid</t>
  </si>
  <si>
    <t>Unpaid</t>
  </si>
  <si>
    <t>Loan Amount</t>
  </si>
  <si>
    <t>Loan Duration</t>
  </si>
  <si>
    <t>Sensitivity Analysis of EMI: Principle vs. Duration</t>
  </si>
  <si>
    <t>Sensitivity Analysis of EMI: Principle vs. Interest Rate</t>
  </si>
  <si>
    <t>Interest Rate</t>
  </si>
  <si>
    <t>Inputs</t>
  </si>
  <si>
    <t>Calculations</t>
  </si>
  <si>
    <t>Principle Paid</t>
  </si>
  <si>
    <t>Principle Due</t>
  </si>
  <si>
    <t>Total Interest</t>
  </si>
  <si>
    <t>Interest paid</t>
  </si>
  <si>
    <t>Interest Due</t>
  </si>
  <si>
    <t>Total insurance</t>
  </si>
  <si>
    <t>Insurance Paid</t>
  </si>
  <si>
    <t>Insurance Due</t>
  </si>
  <si>
    <t>Total Payment</t>
  </si>
  <si>
    <t>Please insert your assumptions in the blue marked cell.Do not change any other cell values in the sheet.</t>
  </si>
  <si>
    <t>Loan disbursement date</t>
  </si>
  <si>
    <t>Date</t>
  </si>
  <si>
    <t>APR/TAEG</t>
  </si>
  <si>
    <t>NPV</t>
  </si>
  <si>
    <t>Discount rate</t>
  </si>
  <si>
    <t>Dashboard</t>
  </si>
  <si>
    <t>Loan Amortization Analysis &amp; Tracker</t>
  </si>
  <si>
    <t>Sensitivity Analysis</t>
  </si>
  <si>
    <t>Assumptions</t>
  </si>
  <si>
    <t>Upfront fee</t>
  </si>
  <si>
    <t>Cash Flow (APR)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</si>
</sst>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[$-409]mmm\-yy;@"/>
    <numFmt numFmtId="169" formatCode="[$-409]d\-mmm\-yy;@"/>
    <numFmt numFmtId="170" formatCode="&quot;$&quot;#,##0"/>
  </numFmts>
  <fonts count="9">
    <font>
      <sz val="12"/>
      <color theme="1"/>
      <name val="Aptos-Narrow"/>
      <family val="2"/>
    </font>
    <font>
      <sz val="12"/>
      <color theme="1"/>
      <name val="Aptos-Narrow"/>
      <family val="2"/>
    </font>
    <font>
      <b/>
      <sz val="12"/>
      <color theme="1"/>
      <name val="Aptos-Narrow"/>
    </font>
    <font>
      <sz val="12"/>
      <color rgb="FF0000FF"/>
      <name val="Aptos-Narrow"/>
      <family val="2"/>
    </font>
    <font>
      <b/>
      <sz val="20"/>
      <color theme="0"/>
      <name val="Aptos-Narrow"/>
    </font>
    <font>
      <b/>
      <sz val="12"/>
      <color theme="0"/>
      <name val="Aptos-Narrow"/>
    </font>
    <font>
      <sz val="10"/>
      <color theme="1"/>
      <name val="Aptos-Narrow"/>
      <family val="2"/>
    </font>
    <font>
      <i/>
      <sz val="10"/>
      <color theme="1"/>
      <name val="Aptos-Narrow"/>
    </font>
    <font>
      <sz val="14"/>
      <color theme="0" tint="-0.14999847407452621"/>
      <name val="Aptos-Narrow"/>
    </font>
  </fonts>
  <fills count="6">
    <fill>
      <patternFill patternType="none"/>
    </fill>
    <fill>
      <patternFill patternType="gray125"/>
    </fill>
    <fill>
      <patternFill patternType="solid">
        <fgColor rgb="FF132A4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66" fontId="0" fillId="0" borderId="0" xfId="1" applyFont="1"/>
    <xf numFmtId="0" fontId="0" fillId="0" borderId="1" xfId="0" applyBorder="1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1" applyFont="1" applyAlignment="1">
      <alignment horizontal="center" vertical="center"/>
    </xf>
    <xf numFmtId="167" fontId="3" fillId="0" borderId="2" xfId="1" applyNumberFormat="1" applyFont="1" applyBorder="1"/>
    <xf numFmtId="10" fontId="3" fillId="0" borderId="3" xfId="2" applyNumberFormat="1" applyFont="1" applyBorder="1"/>
    <xf numFmtId="166" fontId="3" fillId="0" borderId="3" xfId="1" applyFont="1" applyBorder="1"/>
    <xf numFmtId="169" fontId="3" fillId="0" borderId="4" xfId="1" applyNumberFormat="1" applyFont="1" applyBorder="1"/>
    <xf numFmtId="1" fontId="3" fillId="0" borderId="3" xfId="0" applyNumberFormat="1" applyFont="1" applyBorder="1"/>
    <xf numFmtId="0" fontId="0" fillId="2" borderId="0" xfId="0" applyFill="1"/>
    <xf numFmtId="166" fontId="0" fillId="2" borderId="0" xfId="1" applyFont="1" applyFill="1"/>
    <xf numFmtId="0" fontId="4" fillId="2" borderId="0" xfId="0" applyFont="1" applyFill="1"/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6" fillId="0" borderId="0" xfId="0" applyFont="1"/>
    <xf numFmtId="0" fontId="7" fillId="0" borderId="0" xfId="0" applyFont="1"/>
    <xf numFmtId="0" fontId="2" fillId="0" borderId="0" xfId="0" applyFont="1"/>
    <xf numFmtId="164" fontId="0" fillId="0" borderId="0" xfId="0" applyNumberFormat="1"/>
    <xf numFmtId="0" fontId="0" fillId="0" borderId="7" xfId="0" applyBorder="1"/>
    <xf numFmtId="10" fontId="0" fillId="0" borderId="0" xfId="2" applyNumberFormat="1" applyFont="1"/>
    <xf numFmtId="167" fontId="0" fillId="0" borderId="0" xfId="1" applyNumberFormat="1" applyFont="1"/>
    <xf numFmtId="169" fontId="3" fillId="0" borderId="3" xfId="1" applyNumberFormat="1" applyFont="1" applyBorder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9" fontId="0" fillId="0" borderId="0" xfId="0" applyNumberFormat="1"/>
    <xf numFmtId="0" fontId="8" fillId="2" borderId="0" xfId="0" applyFont="1" applyFill="1"/>
    <xf numFmtId="170" fontId="0" fillId="0" borderId="5" xfId="0" applyNumberFormat="1" applyBorder="1"/>
    <xf numFmtId="1" fontId="0" fillId="0" borderId="3" xfId="2" applyNumberFormat="1" applyFont="1" applyBorder="1"/>
    <xf numFmtId="164" fontId="0" fillId="4" borderId="0" xfId="0" applyNumberFormat="1" applyFill="1"/>
    <xf numFmtId="164" fontId="0" fillId="3" borderId="0" xfId="0" applyNumberFormat="1" applyFill="1"/>
    <xf numFmtId="0" fontId="2" fillId="0" borderId="0" xfId="0" applyFont="1" applyAlignment="1">
      <alignment horizontal="centerContinuous" vertical="center"/>
    </xf>
    <xf numFmtId="167" fontId="3" fillId="0" borderId="3" xfId="1" applyNumberFormat="1" applyFont="1" applyBorder="1"/>
    <xf numFmtId="0" fontId="5" fillId="5" borderId="0" xfId="0" applyFont="1" applyFill="1"/>
    <xf numFmtId="0" fontId="2" fillId="0" borderId="6" xfId="0" applyFont="1" applyBorder="1" applyAlignment="1">
      <alignment horizontal="right" vertical="center" textRotation="90"/>
    </xf>
  </cellXfs>
  <cellStyles count="3">
    <cellStyle name="Currency" xfId="1" builtinId="4"/>
    <cellStyle name="Normal" xfId="0" builtinId="0"/>
    <cellStyle name="Percent" xfId="2" builtinId="5"/>
  </cellStyles>
  <dxfs count="14">
    <dxf>
      <font>
        <color theme="1" tint="0.499984740745262"/>
      </font>
      <fill>
        <patternFill>
          <fgColor auto="1"/>
          <bgColor theme="2" tint="-9.9948118533890809E-2"/>
        </patternFill>
      </fill>
    </dxf>
    <dxf>
      <font>
        <color theme="1" tint="0.499984740745262"/>
      </font>
      <fill>
        <patternFill>
          <fgColor auto="1"/>
          <bgColor theme="2" tint="-9.9948118533890809E-2"/>
        </patternFill>
      </fill>
    </dxf>
    <dxf>
      <font>
        <color theme="1" tint="0.499984740745262"/>
      </font>
      <fill>
        <patternFill>
          <fgColor auto="1"/>
          <bgColor theme="2" tint="-9.9948118533890809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Narrow"/>
        <family val="2"/>
        <scheme val="none"/>
      </font>
      <numFmt numFmtId="166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Narrow"/>
        <family val="2"/>
        <scheme val="none"/>
      </font>
      <numFmt numFmtId="166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numFmt numFmtId="165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Narrow"/>
        <family val="2"/>
        <scheme val="none"/>
      </font>
      <numFmt numFmtId="166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Narrow"/>
        <family val="2"/>
        <scheme val="none"/>
      </font>
      <alignment horizontal="center" vertical="center" textRotation="0" wrapText="0" indent="0" justifyLastLine="0" shrinkToFit="0" readingOrder="0"/>
    </dxf>
    <dxf>
      <numFmt numFmtId="168" formatCode="[$-409]mmm\-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-Narrow"/>
        <scheme val="none"/>
      </font>
      <fill>
        <patternFill patternType="solid">
          <fgColor indexed="64"/>
          <bgColor rgb="FF132A4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542"/>
      <color rgb="FF0000FF"/>
      <color rgb="FF132A4F"/>
      <color rgb="FF11143E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'Amortization Table'!$E$7</c:f>
              <c:strCache>
                <c:ptCount val="1"/>
                <c:pt idx="0">
                  <c:v> Interest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'Amortization Table'!$C$8:$C$307</c:f>
              <c:numCache>
                <c:formatCode>[$-409]mmm\-yy;@</c:formatCode>
                <c:ptCount val="300"/>
                <c:pt idx="0">
                  <c:v>45570</c:v>
                </c:pt>
                <c:pt idx="1">
                  <c:v>45601</c:v>
                </c:pt>
                <c:pt idx="2">
                  <c:v>45631</c:v>
                </c:pt>
                <c:pt idx="3">
                  <c:v>45662</c:v>
                </c:pt>
                <c:pt idx="4">
                  <c:v>45693</c:v>
                </c:pt>
                <c:pt idx="5">
                  <c:v>45721</c:v>
                </c:pt>
                <c:pt idx="6">
                  <c:v>45752</c:v>
                </c:pt>
                <c:pt idx="7">
                  <c:v>45782</c:v>
                </c:pt>
                <c:pt idx="8">
                  <c:v>45813</c:v>
                </c:pt>
                <c:pt idx="9">
                  <c:v>45843</c:v>
                </c:pt>
                <c:pt idx="10">
                  <c:v>45874</c:v>
                </c:pt>
                <c:pt idx="11">
                  <c:v>45905</c:v>
                </c:pt>
                <c:pt idx="12">
                  <c:v>45935</c:v>
                </c:pt>
                <c:pt idx="13">
                  <c:v>45966</c:v>
                </c:pt>
                <c:pt idx="14">
                  <c:v>45996</c:v>
                </c:pt>
                <c:pt idx="15">
                  <c:v>46027</c:v>
                </c:pt>
                <c:pt idx="16">
                  <c:v>46058</c:v>
                </c:pt>
                <c:pt idx="17">
                  <c:v>46086</c:v>
                </c:pt>
                <c:pt idx="18">
                  <c:v>46117</c:v>
                </c:pt>
                <c:pt idx="19">
                  <c:v>46147</c:v>
                </c:pt>
                <c:pt idx="20">
                  <c:v>46178</c:v>
                </c:pt>
                <c:pt idx="21">
                  <c:v>46208</c:v>
                </c:pt>
                <c:pt idx="22">
                  <c:v>46239</c:v>
                </c:pt>
                <c:pt idx="23">
                  <c:v>46270</c:v>
                </c:pt>
                <c:pt idx="24">
                  <c:v>46300</c:v>
                </c:pt>
                <c:pt idx="25">
                  <c:v>46331</c:v>
                </c:pt>
                <c:pt idx="26">
                  <c:v>46361</c:v>
                </c:pt>
                <c:pt idx="27">
                  <c:v>46392</c:v>
                </c:pt>
                <c:pt idx="28">
                  <c:v>46423</c:v>
                </c:pt>
                <c:pt idx="29">
                  <c:v>46451</c:v>
                </c:pt>
                <c:pt idx="30">
                  <c:v>46482</c:v>
                </c:pt>
                <c:pt idx="31">
                  <c:v>46512</c:v>
                </c:pt>
                <c:pt idx="32">
                  <c:v>46543</c:v>
                </c:pt>
                <c:pt idx="33">
                  <c:v>46573</c:v>
                </c:pt>
                <c:pt idx="34">
                  <c:v>46604</c:v>
                </c:pt>
                <c:pt idx="35">
                  <c:v>46635</c:v>
                </c:pt>
                <c:pt idx="36">
                  <c:v>46665</c:v>
                </c:pt>
                <c:pt idx="37">
                  <c:v>46696</c:v>
                </c:pt>
                <c:pt idx="38">
                  <c:v>46726</c:v>
                </c:pt>
                <c:pt idx="39">
                  <c:v>46757</c:v>
                </c:pt>
                <c:pt idx="40">
                  <c:v>46788</c:v>
                </c:pt>
                <c:pt idx="41">
                  <c:v>46817</c:v>
                </c:pt>
                <c:pt idx="42">
                  <c:v>46848</c:v>
                </c:pt>
                <c:pt idx="43">
                  <c:v>46878</c:v>
                </c:pt>
                <c:pt idx="44">
                  <c:v>46909</c:v>
                </c:pt>
                <c:pt idx="45">
                  <c:v>46939</c:v>
                </c:pt>
                <c:pt idx="46">
                  <c:v>46970</c:v>
                </c:pt>
                <c:pt idx="47">
                  <c:v>47001</c:v>
                </c:pt>
                <c:pt idx="48">
                  <c:v>47031</c:v>
                </c:pt>
                <c:pt idx="49">
                  <c:v>47062</c:v>
                </c:pt>
                <c:pt idx="50">
                  <c:v>47092</c:v>
                </c:pt>
                <c:pt idx="51">
                  <c:v>47123</c:v>
                </c:pt>
                <c:pt idx="52">
                  <c:v>47154</c:v>
                </c:pt>
                <c:pt idx="53">
                  <c:v>47182</c:v>
                </c:pt>
                <c:pt idx="54">
                  <c:v>47213</c:v>
                </c:pt>
                <c:pt idx="55">
                  <c:v>47243</c:v>
                </c:pt>
                <c:pt idx="56">
                  <c:v>47274</c:v>
                </c:pt>
                <c:pt idx="57">
                  <c:v>47304</c:v>
                </c:pt>
                <c:pt idx="58">
                  <c:v>47335</c:v>
                </c:pt>
                <c:pt idx="59">
                  <c:v>47366</c:v>
                </c:pt>
                <c:pt idx="60">
                  <c:v>47396</c:v>
                </c:pt>
                <c:pt idx="61">
                  <c:v>47427</c:v>
                </c:pt>
                <c:pt idx="62">
                  <c:v>47457</c:v>
                </c:pt>
                <c:pt idx="63">
                  <c:v>47488</c:v>
                </c:pt>
                <c:pt idx="64">
                  <c:v>47519</c:v>
                </c:pt>
                <c:pt idx="65">
                  <c:v>47547</c:v>
                </c:pt>
                <c:pt idx="66">
                  <c:v>47578</c:v>
                </c:pt>
                <c:pt idx="67">
                  <c:v>47608</c:v>
                </c:pt>
                <c:pt idx="68">
                  <c:v>47639</c:v>
                </c:pt>
                <c:pt idx="69">
                  <c:v>47669</c:v>
                </c:pt>
                <c:pt idx="70">
                  <c:v>47700</c:v>
                </c:pt>
                <c:pt idx="71">
                  <c:v>47731</c:v>
                </c:pt>
                <c:pt idx="72">
                  <c:v>47761</c:v>
                </c:pt>
                <c:pt idx="73">
                  <c:v>47792</c:v>
                </c:pt>
                <c:pt idx="74">
                  <c:v>47822</c:v>
                </c:pt>
                <c:pt idx="75">
                  <c:v>47853</c:v>
                </c:pt>
                <c:pt idx="76">
                  <c:v>47884</c:v>
                </c:pt>
                <c:pt idx="77">
                  <c:v>47912</c:v>
                </c:pt>
                <c:pt idx="78">
                  <c:v>47943</c:v>
                </c:pt>
                <c:pt idx="79">
                  <c:v>47973</c:v>
                </c:pt>
                <c:pt idx="80">
                  <c:v>48004</c:v>
                </c:pt>
                <c:pt idx="81">
                  <c:v>48034</c:v>
                </c:pt>
                <c:pt idx="82">
                  <c:v>48065</c:v>
                </c:pt>
                <c:pt idx="83">
                  <c:v>48096</c:v>
                </c:pt>
                <c:pt idx="84">
                  <c:v>48126</c:v>
                </c:pt>
                <c:pt idx="85">
                  <c:v>48157</c:v>
                </c:pt>
                <c:pt idx="86">
                  <c:v>48187</c:v>
                </c:pt>
                <c:pt idx="87">
                  <c:v>48218</c:v>
                </c:pt>
                <c:pt idx="88">
                  <c:v>48249</c:v>
                </c:pt>
                <c:pt idx="89">
                  <c:v>48278</c:v>
                </c:pt>
                <c:pt idx="90">
                  <c:v>48309</c:v>
                </c:pt>
                <c:pt idx="91">
                  <c:v>48339</c:v>
                </c:pt>
                <c:pt idx="92">
                  <c:v>48370</c:v>
                </c:pt>
                <c:pt idx="93">
                  <c:v>48400</c:v>
                </c:pt>
                <c:pt idx="94">
                  <c:v>48431</c:v>
                </c:pt>
                <c:pt idx="95">
                  <c:v>48462</c:v>
                </c:pt>
                <c:pt idx="96">
                  <c:v>48492</c:v>
                </c:pt>
                <c:pt idx="97">
                  <c:v>48523</c:v>
                </c:pt>
                <c:pt idx="98">
                  <c:v>48553</c:v>
                </c:pt>
                <c:pt idx="99">
                  <c:v>48584</c:v>
                </c:pt>
                <c:pt idx="100">
                  <c:v>48615</c:v>
                </c:pt>
                <c:pt idx="101">
                  <c:v>48643</c:v>
                </c:pt>
                <c:pt idx="102">
                  <c:v>48674</c:v>
                </c:pt>
                <c:pt idx="103">
                  <c:v>48704</c:v>
                </c:pt>
                <c:pt idx="104">
                  <c:v>48735</c:v>
                </c:pt>
                <c:pt idx="105">
                  <c:v>48765</c:v>
                </c:pt>
                <c:pt idx="106">
                  <c:v>48796</c:v>
                </c:pt>
                <c:pt idx="107">
                  <c:v>48827</c:v>
                </c:pt>
                <c:pt idx="108">
                  <c:v>48857</c:v>
                </c:pt>
                <c:pt idx="109">
                  <c:v>48888</c:v>
                </c:pt>
                <c:pt idx="110">
                  <c:v>48918</c:v>
                </c:pt>
                <c:pt idx="111">
                  <c:v>48949</c:v>
                </c:pt>
                <c:pt idx="112">
                  <c:v>48980</c:v>
                </c:pt>
                <c:pt idx="113">
                  <c:v>49008</c:v>
                </c:pt>
                <c:pt idx="114">
                  <c:v>49039</c:v>
                </c:pt>
                <c:pt idx="115">
                  <c:v>49069</c:v>
                </c:pt>
                <c:pt idx="116">
                  <c:v>49100</c:v>
                </c:pt>
                <c:pt idx="117">
                  <c:v>49130</c:v>
                </c:pt>
                <c:pt idx="118">
                  <c:v>49161</c:v>
                </c:pt>
                <c:pt idx="119">
                  <c:v>49192</c:v>
                </c:pt>
                <c:pt idx="120">
                  <c:v>49222</c:v>
                </c:pt>
                <c:pt idx="121">
                  <c:v>49253</c:v>
                </c:pt>
                <c:pt idx="122">
                  <c:v>49283</c:v>
                </c:pt>
                <c:pt idx="123">
                  <c:v>49314</c:v>
                </c:pt>
                <c:pt idx="124">
                  <c:v>49345</c:v>
                </c:pt>
                <c:pt idx="125">
                  <c:v>49373</c:v>
                </c:pt>
                <c:pt idx="126">
                  <c:v>49404</c:v>
                </c:pt>
                <c:pt idx="127">
                  <c:v>49434</c:v>
                </c:pt>
                <c:pt idx="128">
                  <c:v>49465</c:v>
                </c:pt>
                <c:pt idx="129">
                  <c:v>49495</c:v>
                </c:pt>
                <c:pt idx="130">
                  <c:v>49526</c:v>
                </c:pt>
                <c:pt idx="131">
                  <c:v>49557</c:v>
                </c:pt>
                <c:pt idx="132">
                  <c:v>49587</c:v>
                </c:pt>
                <c:pt idx="133">
                  <c:v>49618</c:v>
                </c:pt>
                <c:pt idx="134">
                  <c:v>49648</c:v>
                </c:pt>
                <c:pt idx="135">
                  <c:v>49679</c:v>
                </c:pt>
                <c:pt idx="136">
                  <c:v>49710</c:v>
                </c:pt>
                <c:pt idx="137">
                  <c:v>49739</c:v>
                </c:pt>
                <c:pt idx="138">
                  <c:v>49770</c:v>
                </c:pt>
                <c:pt idx="139">
                  <c:v>49800</c:v>
                </c:pt>
                <c:pt idx="140">
                  <c:v>49831</c:v>
                </c:pt>
                <c:pt idx="141">
                  <c:v>49861</c:v>
                </c:pt>
                <c:pt idx="142">
                  <c:v>49892</c:v>
                </c:pt>
                <c:pt idx="143">
                  <c:v>49923</c:v>
                </c:pt>
                <c:pt idx="144">
                  <c:v>49953</c:v>
                </c:pt>
                <c:pt idx="145">
                  <c:v>49984</c:v>
                </c:pt>
                <c:pt idx="146">
                  <c:v>50014</c:v>
                </c:pt>
                <c:pt idx="147">
                  <c:v>50045</c:v>
                </c:pt>
                <c:pt idx="148">
                  <c:v>50076</c:v>
                </c:pt>
                <c:pt idx="149">
                  <c:v>50104</c:v>
                </c:pt>
                <c:pt idx="150">
                  <c:v>50135</c:v>
                </c:pt>
                <c:pt idx="151">
                  <c:v>50165</c:v>
                </c:pt>
                <c:pt idx="152">
                  <c:v>50196</c:v>
                </c:pt>
                <c:pt idx="153">
                  <c:v>50226</c:v>
                </c:pt>
                <c:pt idx="154">
                  <c:v>50257</c:v>
                </c:pt>
                <c:pt idx="155">
                  <c:v>50288</c:v>
                </c:pt>
                <c:pt idx="156">
                  <c:v>50318</c:v>
                </c:pt>
                <c:pt idx="157">
                  <c:v>50349</c:v>
                </c:pt>
                <c:pt idx="158">
                  <c:v>50379</c:v>
                </c:pt>
                <c:pt idx="159">
                  <c:v>50410</c:v>
                </c:pt>
                <c:pt idx="160">
                  <c:v>50441</c:v>
                </c:pt>
                <c:pt idx="161">
                  <c:v>50469</c:v>
                </c:pt>
                <c:pt idx="162">
                  <c:v>50500</c:v>
                </c:pt>
                <c:pt idx="163">
                  <c:v>50530</c:v>
                </c:pt>
                <c:pt idx="164">
                  <c:v>50561</c:v>
                </c:pt>
                <c:pt idx="165">
                  <c:v>50591</c:v>
                </c:pt>
                <c:pt idx="166">
                  <c:v>50622</c:v>
                </c:pt>
                <c:pt idx="167">
                  <c:v>50653</c:v>
                </c:pt>
                <c:pt idx="168">
                  <c:v>50683</c:v>
                </c:pt>
                <c:pt idx="169">
                  <c:v>50714</c:v>
                </c:pt>
                <c:pt idx="170">
                  <c:v>50744</c:v>
                </c:pt>
                <c:pt idx="171">
                  <c:v>50775</c:v>
                </c:pt>
                <c:pt idx="172">
                  <c:v>50806</c:v>
                </c:pt>
                <c:pt idx="173">
                  <c:v>50834</c:v>
                </c:pt>
                <c:pt idx="174">
                  <c:v>50865</c:v>
                </c:pt>
                <c:pt idx="175">
                  <c:v>50895</c:v>
                </c:pt>
                <c:pt idx="176">
                  <c:v>50926</c:v>
                </c:pt>
                <c:pt idx="177">
                  <c:v>50956</c:v>
                </c:pt>
                <c:pt idx="178">
                  <c:v>50987</c:v>
                </c:pt>
                <c:pt idx="179">
                  <c:v>51018</c:v>
                </c:pt>
                <c:pt idx="180">
                  <c:v>51048</c:v>
                </c:pt>
                <c:pt idx="181">
                  <c:v>51079</c:v>
                </c:pt>
                <c:pt idx="182">
                  <c:v>51109</c:v>
                </c:pt>
                <c:pt idx="183">
                  <c:v>51140</c:v>
                </c:pt>
                <c:pt idx="184">
                  <c:v>51171</c:v>
                </c:pt>
                <c:pt idx="185">
                  <c:v>51200</c:v>
                </c:pt>
                <c:pt idx="186">
                  <c:v>51231</c:v>
                </c:pt>
                <c:pt idx="187">
                  <c:v>51261</c:v>
                </c:pt>
                <c:pt idx="188">
                  <c:v>51292</c:v>
                </c:pt>
                <c:pt idx="189">
                  <c:v>51322</c:v>
                </c:pt>
                <c:pt idx="190">
                  <c:v>51353</c:v>
                </c:pt>
                <c:pt idx="191">
                  <c:v>51384</c:v>
                </c:pt>
                <c:pt idx="192">
                  <c:v>51414</c:v>
                </c:pt>
                <c:pt idx="193">
                  <c:v>51445</c:v>
                </c:pt>
                <c:pt idx="194">
                  <c:v>51475</c:v>
                </c:pt>
                <c:pt idx="195">
                  <c:v>51506</c:v>
                </c:pt>
                <c:pt idx="196">
                  <c:v>51537</c:v>
                </c:pt>
                <c:pt idx="197">
                  <c:v>51565</c:v>
                </c:pt>
                <c:pt idx="198">
                  <c:v>51596</c:v>
                </c:pt>
                <c:pt idx="199">
                  <c:v>51626</c:v>
                </c:pt>
                <c:pt idx="200">
                  <c:v>51657</c:v>
                </c:pt>
                <c:pt idx="201">
                  <c:v>51687</c:v>
                </c:pt>
                <c:pt idx="202">
                  <c:v>51718</c:v>
                </c:pt>
                <c:pt idx="203">
                  <c:v>51749</c:v>
                </c:pt>
                <c:pt idx="204">
                  <c:v>51779</c:v>
                </c:pt>
                <c:pt idx="205">
                  <c:v>51810</c:v>
                </c:pt>
                <c:pt idx="206">
                  <c:v>51840</c:v>
                </c:pt>
                <c:pt idx="207">
                  <c:v>51871</c:v>
                </c:pt>
                <c:pt idx="208">
                  <c:v>51902</c:v>
                </c:pt>
                <c:pt idx="209">
                  <c:v>51930</c:v>
                </c:pt>
                <c:pt idx="210">
                  <c:v>51961</c:v>
                </c:pt>
                <c:pt idx="211">
                  <c:v>51991</c:v>
                </c:pt>
                <c:pt idx="212">
                  <c:v>52022</c:v>
                </c:pt>
                <c:pt idx="213">
                  <c:v>52052</c:v>
                </c:pt>
                <c:pt idx="214">
                  <c:v>52083</c:v>
                </c:pt>
                <c:pt idx="215">
                  <c:v>52114</c:v>
                </c:pt>
                <c:pt idx="216">
                  <c:v>52144</c:v>
                </c:pt>
                <c:pt idx="217">
                  <c:v>52175</c:v>
                </c:pt>
                <c:pt idx="218">
                  <c:v>52205</c:v>
                </c:pt>
                <c:pt idx="219">
                  <c:v>52236</c:v>
                </c:pt>
                <c:pt idx="220">
                  <c:v>52267</c:v>
                </c:pt>
                <c:pt idx="221">
                  <c:v>52295</c:v>
                </c:pt>
                <c:pt idx="222">
                  <c:v>52326</c:v>
                </c:pt>
                <c:pt idx="223">
                  <c:v>52356</c:v>
                </c:pt>
                <c:pt idx="224">
                  <c:v>52387</c:v>
                </c:pt>
                <c:pt idx="225">
                  <c:v>52417</c:v>
                </c:pt>
                <c:pt idx="226">
                  <c:v>52448</c:v>
                </c:pt>
                <c:pt idx="227">
                  <c:v>52479</c:v>
                </c:pt>
                <c:pt idx="228">
                  <c:v>52509</c:v>
                </c:pt>
                <c:pt idx="229">
                  <c:v>52540</c:v>
                </c:pt>
                <c:pt idx="230">
                  <c:v>52570</c:v>
                </c:pt>
                <c:pt idx="231">
                  <c:v>52601</c:v>
                </c:pt>
                <c:pt idx="232">
                  <c:v>52632</c:v>
                </c:pt>
                <c:pt idx="233">
                  <c:v>52661</c:v>
                </c:pt>
                <c:pt idx="234">
                  <c:v>52692</c:v>
                </c:pt>
                <c:pt idx="235">
                  <c:v>52722</c:v>
                </c:pt>
                <c:pt idx="236">
                  <c:v>52753</c:v>
                </c:pt>
                <c:pt idx="237">
                  <c:v>52783</c:v>
                </c:pt>
                <c:pt idx="238">
                  <c:v>52814</c:v>
                </c:pt>
                <c:pt idx="239">
                  <c:v>52845</c:v>
                </c:pt>
                <c:pt idx="240">
                  <c:v>52875</c:v>
                </c:pt>
                <c:pt idx="241">
                  <c:v>52906</c:v>
                </c:pt>
                <c:pt idx="242">
                  <c:v>52936</c:v>
                </c:pt>
                <c:pt idx="243">
                  <c:v>52967</c:v>
                </c:pt>
                <c:pt idx="244">
                  <c:v>52998</c:v>
                </c:pt>
                <c:pt idx="245">
                  <c:v>53026</c:v>
                </c:pt>
                <c:pt idx="246">
                  <c:v>53057</c:v>
                </c:pt>
                <c:pt idx="247">
                  <c:v>53087</c:v>
                </c:pt>
                <c:pt idx="248">
                  <c:v>53118</c:v>
                </c:pt>
                <c:pt idx="249">
                  <c:v>53148</c:v>
                </c:pt>
                <c:pt idx="250">
                  <c:v>53179</c:v>
                </c:pt>
                <c:pt idx="251">
                  <c:v>53210</c:v>
                </c:pt>
                <c:pt idx="252">
                  <c:v>53240</c:v>
                </c:pt>
                <c:pt idx="253">
                  <c:v>53271</c:v>
                </c:pt>
                <c:pt idx="254">
                  <c:v>53301</c:v>
                </c:pt>
                <c:pt idx="255">
                  <c:v>53332</c:v>
                </c:pt>
                <c:pt idx="256">
                  <c:v>53363</c:v>
                </c:pt>
                <c:pt idx="257">
                  <c:v>53391</c:v>
                </c:pt>
                <c:pt idx="258">
                  <c:v>53422</c:v>
                </c:pt>
                <c:pt idx="259">
                  <c:v>53452</c:v>
                </c:pt>
                <c:pt idx="260">
                  <c:v>53483</c:v>
                </c:pt>
                <c:pt idx="261">
                  <c:v>53513</c:v>
                </c:pt>
                <c:pt idx="262">
                  <c:v>53544</c:v>
                </c:pt>
                <c:pt idx="263">
                  <c:v>53575</c:v>
                </c:pt>
                <c:pt idx="264">
                  <c:v>53605</c:v>
                </c:pt>
                <c:pt idx="265">
                  <c:v>53636</c:v>
                </c:pt>
                <c:pt idx="266">
                  <c:v>53666</c:v>
                </c:pt>
                <c:pt idx="267">
                  <c:v>53697</c:v>
                </c:pt>
                <c:pt idx="268">
                  <c:v>53728</c:v>
                </c:pt>
                <c:pt idx="269">
                  <c:v>53756</c:v>
                </c:pt>
                <c:pt idx="270">
                  <c:v>53787</c:v>
                </c:pt>
                <c:pt idx="271">
                  <c:v>53817</c:v>
                </c:pt>
                <c:pt idx="272">
                  <c:v>53848</c:v>
                </c:pt>
                <c:pt idx="273">
                  <c:v>53878</c:v>
                </c:pt>
                <c:pt idx="274">
                  <c:v>53909</c:v>
                </c:pt>
                <c:pt idx="275">
                  <c:v>53940</c:v>
                </c:pt>
                <c:pt idx="276">
                  <c:v>53970</c:v>
                </c:pt>
                <c:pt idx="277">
                  <c:v>54001</c:v>
                </c:pt>
                <c:pt idx="278">
                  <c:v>54031</c:v>
                </c:pt>
                <c:pt idx="279">
                  <c:v>54062</c:v>
                </c:pt>
                <c:pt idx="280">
                  <c:v>54093</c:v>
                </c:pt>
                <c:pt idx="281">
                  <c:v>54122</c:v>
                </c:pt>
                <c:pt idx="282">
                  <c:v>54153</c:v>
                </c:pt>
                <c:pt idx="283">
                  <c:v>54183</c:v>
                </c:pt>
                <c:pt idx="284">
                  <c:v>54214</c:v>
                </c:pt>
                <c:pt idx="285">
                  <c:v>54244</c:v>
                </c:pt>
                <c:pt idx="286">
                  <c:v>54275</c:v>
                </c:pt>
                <c:pt idx="287">
                  <c:v>54306</c:v>
                </c:pt>
                <c:pt idx="288">
                  <c:v>54336</c:v>
                </c:pt>
                <c:pt idx="289">
                  <c:v>54367</c:v>
                </c:pt>
                <c:pt idx="290">
                  <c:v>54397</c:v>
                </c:pt>
                <c:pt idx="291">
                  <c:v>54428</c:v>
                </c:pt>
                <c:pt idx="292">
                  <c:v>54459</c:v>
                </c:pt>
                <c:pt idx="293">
                  <c:v>54487</c:v>
                </c:pt>
                <c:pt idx="294">
                  <c:v>54518</c:v>
                </c:pt>
                <c:pt idx="295">
                  <c:v>54548</c:v>
                </c:pt>
                <c:pt idx="296">
                  <c:v>54579</c:v>
                </c:pt>
                <c:pt idx="297">
                  <c:v>54609</c:v>
                </c:pt>
                <c:pt idx="298">
                  <c:v>54640</c:v>
                </c:pt>
                <c:pt idx="299">
                  <c:v>54671</c:v>
                </c:pt>
              </c:numCache>
            </c:numRef>
          </c:cat>
          <c:val>
            <c:numRef>
              <c:f>'Amortization Table'!$E$8:$E$307</c:f>
              <c:numCache>
                <c:formatCode>_("$"* #,##0.00_);_("$"* \(#,##0.00\);_("$"* "-"??_);_(@_)</c:formatCode>
                <c:ptCount val="300"/>
                <c:pt idx="0">
                  <c:v>572.91666666666663</c:v>
                </c:pt>
                <c:pt idx="1">
                  <c:v>571.58667391961762</c:v>
                </c:pt>
                <c:pt idx="2">
                  <c:v>570.25363327252319</c:v>
                </c:pt>
                <c:pt idx="3">
                  <c:v>568.91753774061226</c:v>
                </c:pt>
                <c:pt idx="4">
                  <c:v>567.57838032310781</c:v>
                </c:pt>
                <c:pt idx="5">
                  <c:v>566.23615400318806</c:v>
                </c:pt>
                <c:pt idx="6">
                  <c:v>564.89085174795184</c:v>
                </c:pt>
                <c:pt idx="7">
                  <c:v>563.5424665083807</c:v>
                </c:pt>
                <c:pt idx="8">
                  <c:v>562.19099121930208</c:v>
                </c:pt>
                <c:pt idx="9">
                  <c:v>560.83641879935294</c:v>
                </c:pt>
                <c:pt idx="10">
                  <c:v>559.47874215094112</c:v>
                </c:pt>
                <c:pt idx="11">
                  <c:v>558.11795416021005</c:v>
                </c:pt>
                <c:pt idx="12">
                  <c:v>556.75404769700037</c:v>
                </c:pt>
                <c:pt idx="13">
                  <c:v>555.38701561481253</c:v>
                </c:pt>
                <c:pt idx="14">
                  <c:v>554.01685075076944</c:v>
                </c:pt>
                <c:pt idx="15">
                  <c:v>552.64354592557982</c:v>
                </c:pt>
                <c:pt idx="16">
                  <c:v>551.26709394349905</c:v>
                </c:pt>
                <c:pt idx="17">
                  <c:v>549.8874875922927</c:v>
                </c:pt>
                <c:pt idx="18">
                  <c:v>548.5047196431982</c:v>
                </c:pt>
                <c:pt idx="19">
                  <c:v>547.11878285088687</c:v>
                </c:pt>
                <c:pt idx="20">
                  <c:v>545.72966995342665</c:v>
                </c:pt>
                <c:pt idx="21">
                  <c:v>544.33737367224307</c:v>
                </c:pt>
                <c:pt idx="22">
                  <c:v>542.94188671208178</c:v>
                </c:pt>
                <c:pt idx="23">
                  <c:v>541.54320176097008</c:v>
                </c:pt>
                <c:pt idx="24">
                  <c:v>540.14131149017874</c:v>
                </c:pt>
                <c:pt idx="25">
                  <c:v>538.73620855418358</c:v>
                </c:pt>
                <c:pt idx="26">
                  <c:v>537.32788559062658</c:v>
                </c:pt>
                <c:pt idx="27">
                  <c:v>535.91633522027814</c:v>
                </c:pt>
                <c:pt idx="28">
                  <c:v>534.50155004699786</c:v>
                </c:pt>
                <c:pt idx="29">
                  <c:v>533.08352265769531</c:v>
                </c:pt>
                <c:pt idx="30">
                  <c:v>531.6622456222924</c:v>
                </c:pt>
                <c:pt idx="31">
                  <c:v>530.23771149368326</c:v>
                </c:pt>
                <c:pt idx="32">
                  <c:v>528.80991280769604</c:v>
                </c:pt>
                <c:pt idx="33">
                  <c:v>527.37884208305331</c:v>
                </c:pt>
                <c:pt idx="34">
                  <c:v>525.94449182133349</c:v>
                </c:pt>
                <c:pt idx="35">
                  <c:v>524.50685450693061</c:v>
                </c:pt>
                <c:pt idx="36">
                  <c:v>523.06592260701541</c:v>
                </c:pt>
                <c:pt idx="37">
                  <c:v>521.62168857149641</c:v>
                </c:pt>
                <c:pt idx="38">
                  <c:v>520.1741448329791</c:v>
                </c:pt>
                <c:pt idx="39">
                  <c:v>518.72328380672775</c:v>
                </c:pt>
                <c:pt idx="40">
                  <c:v>517.26909789062472</c:v>
                </c:pt>
                <c:pt idx="41">
                  <c:v>515.81157946513031</c:v>
                </c:pt>
                <c:pt idx="42">
                  <c:v>514.35072089324456</c:v>
                </c:pt>
                <c:pt idx="43">
                  <c:v>512.88651452046463</c:v>
                </c:pt>
                <c:pt idx="44">
                  <c:v>511.41895267474717</c:v>
                </c:pt>
                <c:pt idx="45">
                  <c:v>509.9480276664666</c:v>
                </c:pt>
                <c:pt idx="46">
                  <c:v>508.47373178837518</c:v>
                </c:pt>
                <c:pt idx="47">
                  <c:v>506.99605731556352</c:v>
                </c:pt>
                <c:pt idx="48">
                  <c:v>505.51499650541803</c:v>
                </c:pt>
                <c:pt idx="49">
                  <c:v>504.03054159758278</c:v>
                </c:pt>
                <c:pt idx="50">
                  <c:v>502.54268481391705</c:v>
                </c:pt>
                <c:pt idx="51">
                  <c:v>501.05141835845541</c:v>
                </c:pt>
                <c:pt idx="52">
                  <c:v>499.55673441736656</c:v>
                </c:pt>
                <c:pt idx="53">
                  <c:v>498.05862515891283</c:v>
                </c:pt>
                <c:pt idx="54">
                  <c:v>496.55708273340844</c:v>
                </c:pt>
                <c:pt idx="55">
                  <c:v>495.05209927317901</c:v>
                </c:pt>
                <c:pt idx="56">
                  <c:v>493.54366689251981</c:v>
                </c:pt>
                <c:pt idx="57">
                  <c:v>492.03177768765499</c:v>
                </c:pt>
                <c:pt idx="58">
                  <c:v>490.51642373669563</c:v>
                </c:pt>
                <c:pt idx="59">
                  <c:v>488.99759709959864</c:v>
                </c:pt>
                <c:pt idx="60">
                  <c:v>487.47528981812508</c:v>
                </c:pt>
                <c:pt idx="61">
                  <c:v>485.94949391579797</c:v>
                </c:pt>
                <c:pt idx="62">
                  <c:v>484.42020139786155</c:v>
                </c:pt>
                <c:pt idx="63">
                  <c:v>482.88740425123808</c:v>
                </c:pt>
                <c:pt idx="64">
                  <c:v>481.35109444448699</c:v>
                </c:pt>
                <c:pt idx="65">
                  <c:v>479.81126392776207</c:v>
                </c:pt>
                <c:pt idx="66">
                  <c:v>478.26790463276956</c:v>
                </c:pt>
                <c:pt idx="67">
                  <c:v>476.72100847272611</c:v>
                </c:pt>
                <c:pt idx="68">
                  <c:v>475.17056734231602</c:v>
                </c:pt>
                <c:pt idx="69">
                  <c:v>473.61657311764861</c:v>
                </c:pt>
                <c:pt idx="70">
                  <c:v>472.05901765621627</c:v>
                </c:pt>
                <c:pt idx="71">
                  <c:v>470.49789279685149</c:v>
                </c:pt>
                <c:pt idx="72">
                  <c:v>468.93319035968415</c:v>
                </c:pt>
                <c:pt idx="73">
                  <c:v>467.36490214609807</c:v>
                </c:pt>
                <c:pt idx="74">
                  <c:v>465.79301993868938</c:v>
                </c:pt>
                <c:pt idx="75">
                  <c:v>464.21753550122202</c:v>
                </c:pt>
                <c:pt idx="76">
                  <c:v>462.63844057858535</c:v>
                </c:pt>
                <c:pt idx="77">
                  <c:v>461.0557268967512</c:v>
                </c:pt>
                <c:pt idx="78">
                  <c:v>459.46938616272928</c:v>
                </c:pt>
                <c:pt idx="79">
                  <c:v>457.87941006452542</c:v>
                </c:pt>
                <c:pt idx="80">
                  <c:v>456.2857902710964</c:v>
                </c:pt>
                <c:pt idx="81">
                  <c:v>454.68851843230738</c:v>
                </c:pt>
                <c:pt idx="82">
                  <c:v>453.08758617888782</c:v>
                </c:pt>
                <c:pt idx="83">
                  <c:v>451.48298512238767</c:v>
                </c:pt>
                <c:pt idx="84">
                  <c:v>449.8747068551329</c:v>
                </c:pt>
                <c:pt idx="85">
                  <c:v>448.26274295018237</c:v>
                </c:pt>
                <c:pt idx="86">
                  <c:v>446.64708496128299</c:v>
                </c:pt>
                <c:pt idx="87">
                  <c:v>445.02772442282566</c:v>
                </c:pt>
                <c:pt idx="88">
                  <c:v>443.40465284980115</c:v>
                </c:pt>
                <c:pt idx="89">
                  <c:v>441.77786173775502</c:v>
                </c:pt>
                <c:pt idx="90">
                  <c:v>440.14734256274386</c:v>
                </c:pt>
                <c:pt idx="91">
                  <c:v>438.51308678128993</c:v>
                </c:pt>
                <c:pt idx="92">
                  <c:v>436.87508583033679</c:v>
                </c:pt>
                <c:pt idx="93">
                  <c:v>435.23333112720445</c:v>
                </c:pt>
                <c:pt idx="94">
                  <c:v>433.58781406954409</c:v>
                </c:pt>
                <c:pt idx="95">
                  <c:v>431.93852603529319</c:v>
                </c:pt>
                <c:pt idx="96">
                  <c:v>430.28545838263057</c:v>
                </c:pt>
                <c:pt idx="97">
                  <c:v>428.6286024499305</c:v>
                </c:pt>
                <c:pt idx="98">
                  <c:v>426.96794955571812</c:v>
                </c:pt>
                <c:pt idx="99">
                  <c:v>425.30349099862315</c:v>
                </c:pt>
                <c:pt idx="100">
                  <c:v>423.63521805733473</c:v>
                </c:pt>
                <c:pt idx="101">
                  <c:v>421.96312199055598</c:v>
                </c:pt>
                <c:pt idx="102">
                  <c:v>420.28719403695737</c:v>
                </c:pt>
                <c:pt idx="103">
                  <c:v>418.6074254151319</c:v>
                </c:pt>
                <c:pt idx="104">
                  <c:v>416.92380732354803</c:v>
                </c:pt>
                <c:pt idx="105">
                  <c:v>415.23633094050422</c:v>
                </c:pt>
                <c:pt idx="106">
                  <c:v>413.54498742408259</c:v>
                </c:pt>
                <c:pt idx="107">
                  <c:v>411.84976791210261</c:v>
                </c:pt>
                <c:pt idx="108">
                  <c:v>410.1506635220743</c:v>
                </c:pt>
                <c:pt idx="109">
                  <c:v>408.44766535115218</c:v>
                </c:pt>
                <c:pt idx="110">
                  <c:v>406.74076447608837</c:v>
                </c:pt>
                <c:pt idx="111">
                  <c:v>405.02995195318584</c:v>
                </c:pt>
                <c:pt idx="112">
                  <c:v>403.31521881825165</c:v>
                </c:pt>
                <c:pt idx="113">
                  <c:v>401.59655608654992</c:v>
                </c:pt>
                <c:pt idx="114">
                  <c:v>399.8739547527548</c:v>
                </c:pt>
                <c:pt idx="115">
                  <c:v>398.14740579090301</c:v>
                </c:pt>
                <c:pt idx="116">
                  <c:v>396.41690015434688</c:v>
                </c:pt>
                <c:pt idx="117">
                  <c:v>394.68242877570702</c:v>
                </c:pt>
                <c:pt idx="118">
                  <c:v>392.9439825668245</c:v>
                </c:pt>
                <c:pt idx="119">
                  <c:v>391.20155241871328</c:v>
                </c:pt>
                <c:pt idx="120">
                  <c:v>389.45512920151259</c:v>
                </c:pt>
                <c:pt idx="121">
                  <c:v>387.70470376443916</c:v>
                </c:pt>
                <c:pt idx="122">
                  <c:v>385.95026693573919</c:v>
                </c:pt>
                <c:pt idx="123">
                  <c:v>384.19180952263997</c:v>
                </c:pt>
                <c:pt idx="124">
                  <c:v>382.42932231130254</c:v>
                </c:pt>
                <c:pt idx="125">
                  <c:v>380.66279606677239</c:v>
                </c:pt>
                <c:pt idx="126">
                  <c:v>378.89222153293179</c:v>
                </c:pt>
                <c:pt idx="127">
                  <c:v>377.11758943245127</c:v>
                </c:pt>
                <c:pt idx="128">
                  <c:v>375.33889046674028</c:v>
                </c:pt>
                <c:pt idx="129">
                  <c:v>373.55611531589977</c:v>
                </c:pt>
                <c:pt idx="130">
                  <c:v>371.7692546386719</c:v>
                </c:pt>
                <c:pt idx="131">
                  <c:v>369.97829907239196</c:v>
                </c:pt>
                <c:pt idx="132">
                  <c:v>368.18323923293934</c:v>
                </c:pt>
                <c:pt idx="133">
                  <c:v>366.38406571468784</c:v>
                </c:pt>
                <c:pt idx="134">
                  <c:v>364.58076909045718</c:v>
                </c:pt>
                <c:pt idx="135">
                  <c:v>362.77333991146259</c:v>
                </c:pt>
                <c:pt idx="136">
                  <c:v>360.96176870726606</c:v>
                </c:pt>
                <c:pt idx="137">
                  <c:v>359.14604598572669</c:v>
                </c:pt>
                <c:pt idx="138">
                  <c:v>357.32616223295048</c:v>
                </c:pt>
                <c:pt idx="139">
                  <c:v>355.50210791324076</c:v>
                </c:pt>
                <c:pt idx="140">
                  <c:v>353.67387346904843</c:v>
                </c:pt>
                <c:pt idx="141">
                  <c:v>351.84144932092141</c:v>
                </c:pt>
                <c:pt idx="142">
                  <c:v>350.004825867455</c:v>
                </c:pt>
                <c:pt idx="143">
                  <c:v>348.16399348524101</c:v>
                </c:pt>
                <c:pt idx="144">
                  <c:v>346.31894252881784</c:v>
                </c:pt>
                <c:pt idx="145">
                  <c:v>344.46966333061948</c:v>
                </c:pt>
                <c:pt idx="146">
                  <c:v>342.6161462009253</c:v>
                </c:pt>
                <c:pt idx="147">
                  <c:v>340.75838142780884</c:v>
                </c:pt>
                <c:pt idx="148">
                  <c:v>338.89635927708736</c:v>
                </c:pt>
                <c:pt idx="149">
                  <c:v>337.03006999227051</c:v>
                </c:pt>
                <c:pt idx="150">
                  <c:v>335.15950379450919</c:v>
                </c:pt>
                <c:pt idx="151">
                  <c:v>333.28465088254472</c:v>
                </c:pt>
                <c:pt idx="152">
                  <c:v>331.40550143265705</c:v>
                </c:pt>
                <c:pt idx="153">
                  <c:v>329.52204559861332</c:v>
                </c:pt>
                <c:pt idx="154">
                  <c:v>327.63427351161658</c:v>
                </c:pt>
                <c:pt idx="155">
                  <c:v>325.74217528025378</c:v>
                </c:pt>
                <c:pt idx="156">
                  <c:v>323.8457409904442</c:v>
                </c:pt>
                <c:pt idx="157">
                  <c:v>321.94496070538707</c:v>
                </c:pt>
                <c:pt idx="158">
                  <c:v>320.03982446551004</c:v>
                </c:pt>
                <c:pt idx="159">
                  <c:v>318.13032228841661</c:v>
                </c:pt>
                <c:pt idx="160">
                  <c:v>316.21644416883402</c:v>
                </c:pt>
                <c:pt idx="161">
                  <c:v>314.29818007856073</c:v>
                </c:pt>
                <c:pt idx="162">
                  <c:v>312.37551996641383</c:v>
                </c:pt>
                <c:pt idx="163">
                  <c:v>310.4484537581767</c:v>
                </c:pt>
                <c:pt idx="164">
                  <c:v>308.51697135654564</c:v>
                </c:pt>
                <c:pt idx="165">
                  <c:v>306.58106264107749</c:v>
                </c:pt>
                <c:pt idx="166">
                  <c:v>304.64071746813642</c:v>
                </c:pt>
                <c:pt idx="167">
                  <c:v>302.69592567084067</c:v>
                </c:pt>
                <c:pt idx="168">
                  <c:v>300.74667705900947</c:v>
                </c:pt>
                <c:pt idx="169">
                  <c:v>298.79296141910953</c:v>
                </c:pt>
                <c:pt idx="170">
                  <c:v>296.83476851420141</c:v>
                </c:pt>
                <c:pt idx="171">
                  <c:v>294.87208808388624</c:v>
                </c:pt>
                <c:pt idx="172">
                  <c:v>292.90490984425162</c:v>
                </c:pt>
                <c:pt idx="173">
                  <c:v>290.93322348781777</c:v>
                </c:pt>
                <c:pt idx="174">
                  <c:v>288.95701868348385</c:v>
                </c:pt>
                <c:pt idx="175">
                  <c:v>286.97628507647329</c:v>
                </c:pt>
                <c:pt idx="176">
                  <c:v>284.99101228827999</c:v>
                </c:pt>
                <c:pt idx="177">
                  <c:v>283.00118991661378</c:v>
                </c:pt>
                <c:pt idx="178">
                  <c:v>281.00680753534579</c:v>
                </c:pt>
                <c:pt idx="179">
                  <c:v>279.00785469445401</c:v>
                </c:pt>
                <c:pt idx="180">
                  <c:v>277.00432091996862</c:v>
                </c:pt>
                <c:pt idx="181">
                  <c:v>274.99619571391673</c:v>
                </c:pt>
                <c:pt idx="182">
                  <c:v>272.98346855426746</c:v>
                </c:pt>
                <c:pt idx="183">
                  <c:v>270.9661288948775</c:v>
                </c:pt>
                <c:pt idx="184">
                  <c:v>268.94416616543469</c:v>
                </c:pt>
                <c:pt idx="185">
                  <c:v>266.91756977140363</c:v>
                </c:pt>
                <c:pt idx="186">
                  <c:v>264.88632909396955</c:v>
                </c:pt>
                <c:pt idx="187">
                  <c:v>262.850433489983</c:v>
                </c:pt>
                <c:pt idx="188">
                  <c:v>260.80987229190401</c:v>
                </c:pt>
                <c:pt idx="189">
                  <c:v>258.76463480774606</c:v>
                </c:pt>
                <c:pt idx="190">
                  <c:v>256.71471032102028</c:v>
                </c:pt>
                <c:pt idx="191">
                  <c:v>254.66008809067904</c:v>
                </c:pt>
                <c:pt idx="192">
                  <c:v>252.60075735105997</c:v>
                </c:pt>
                <c:pt idx="193">
                  <c:v>250.53670731182928</c:v>
                </c:pt>
                <c:pt idx="194">
                  <c:v>248.46792715792535</c:v>
                </c:pt>
                <c:pt idx="195">
                  <c:v>246.39440604950204</c:v>
                </c:pt>
                <c:pt idx="196">
                  <c:v>244.3161331218719</c:v>
                </c:pt>
                <c:pt idx="197">
                  <c:v>242.23309748544935</c:v>
                </c:pt>
                <c:pt idx="198">
                  <c:v>240.14528822569326</c:v>
                </c:pt>
                <c:pt idx="199">
                  <c:v>238.05269440305031</c:v>
                </c:pt>
                <c:pt idx="200">
                  <c:v>235.95530505289707</c:v>
                </c:pt>
                <c:pt idx="201">
                  <c:v>233.85310918548305</c:v>
                </c:pt>
                <c:pt idx="202">
                  <c:v>231.74609578587291</c:v>
                </c:pt>
                <c:pt idx="203">
                  <c:v>229.63425381388862</c:v>
                </c:pt>
                <c:pt idx="204">
                  <c:v>227.51757220405193</c:v>
                </c:pt>
                <c:pt idx="205">
                  <c:v>225.39603986552601</c:v>
                </c:pt>
                <c:pt idx="206">
                  <c:v>223.26964568205761</c:v>
                </c:pt>
                <c:pt idx="207">
                  <c:v>221.1383785119188</c:v>
                </c:pt>
                <c:pt idx="208">
                  <c:v>219.00222718784843</c:v>
                </c:pt>
                <c:pt idx="209">
                  <c:v>216.86118051699361</c:v>
                </c:pt>
                <c:pt idx="210">
                  <c:v>214.71522728085159</c:v>
                </c:pt>
                <c:pt idx="211">
                  <c:v>212.56435623520994</c:v>
                </c:pt>
                <c:pt idx="212">
                  <c:v>210.4085561100888</c:v>
                </c:pt>
                <c:pt idx="213">
                  <c:v>208.24781560968083</c:v>
                </c:pt>
                <c:pt idx="214">
                  <c:v>206.08212341229282</c:v>
                </c:pt>
                <c:pt idx="215">
                  <c:v>203.91146817028573</c:v>
                </c:pt>
                <c:pt idx="216">
                  <c:v>201.73583851001581</c:v>
                </c:pt>
                <c:pt idx="217">
                  <c:v>199.55522303177437</c:v>
                </c:pt>
                <c:pt idx="218">
                  <c:v>197.36961030972864</c:v>
                </c:pt>
                <c:pt idx="219">
                  <c:v>195.17898889186154</c:v>
                </c:pt>
                <c:pt idx="220">
                  <c:v>192.98334729991183</c:v>
                </c:pt>
                <c:pt idx="221">
                  <c:v>190.78267402931394</c:v>
                </c:pt>
                <c:pt idx="222">
                  <c:v>188.57695754913757</c:v>
                </c:pt>
                <c:pt idx="223">
                  <c:v>186.36618630202747</c:v>
                </c:pt>
                <c:pt idx="224">
                  <c:v>184.15034870414271</c:v>
                </c:pt>
                <c:pt idx="225">
                  <c:v>181.92943314509617</c:v>
                </c:pt>
                <c:pt idx="226">
                  <c:v>179.70342798789343</c:v>
                </c:pt>
                <c:pt idx="227">
                  <c:v>177.47232156887216</c:v>
                </c:pt>
                <c:pt idx="228">
                  <c:v>175.23610219764063</c:v>
                </c:pt>
                <c:pt idx="229">
                  <c:v>172.99475815701666</c:v>
                </c:pt>
                <c:pt idx="230">
                  <c:v>170.74827770296628</c:v>
                </c:pt>
                <c:pt idx="231">
                  <c:v>168.49664906454203</c:v>
                </c:pt>
                <c:pt idx="232">
                  <c:v>166.23986044382139</c:v>
                </c:pt>
                <c:pt idx="233">
                  <c:v>163.97790001584497</c:v>
                </c:pt>
                <c:pt idx="234">
                  <c:v>161.71075592855433</c:v>
                </c:pt>
                <c:pt idx="235">
                  <c:v>159.43841630273045</c:v>
                </c:pt>
                <c:pt idx="236">
                  <c:v>157.16086923193063</c:v>
                </c:pt>
                <c:pt idx="237">
                  <c:v>154.87810278242691</c:v>
                </c:pt>
                <c:pt idx="238">
                  <c:v>152.59010499314311</c:v>
                </c:pt>
                <c:pt idx="239">
                  <c:v>150.29686387559215</c:v>
                </c:pt>
                <c:pt idx="240">
                  <c:v>147.99836741381353</c:v>
                </c:pt>
                <c:pt idx="241">
                  <c:v>145.69460356430997</c:v>
                </c:pt>
                <c:pt idx="242">
                  <c:v>143.38556025598461</c:v>
                </c:pt>
                <c:pt idx="243">
                  <c:v>141.07122539007773</c:v>
                </c:pt>
                <c:pt idx="244">
                  <c:v>138.75158684010307</c:v>
                </c:pt>
                <c:pt idx="245">
                  <c:v>136.4266324517848</c:v>
                </c:pt>
                <c:pt idx="246">
                  <c:v>134.09635004299324</c:v>
                </c:pt>
                <c:pt idx="247">
                  <c:v>131.76072740368156</c:v>
                </c:pt>
                <c:pt idx="248">
                  <c:v>129.41975229582144</c:v>
                </c:pt>
                <c:pt idx="249">
                  <c:v>127.07341245333915</c:v>
                </c:pt>
                <c:pt idx="250">
                  <c:v>124.72169558205118</c:v>
                </c:pt>
                <c:pt idx="251">
                  <c:v>122.36458935959982</c:v>
                </c:pt>
                <c:pt idx="252">
                  <c:v>120.00208143538867</c:v>
                </c:pt>
                <c:pt idx="253">
                  <c:v>117.6341594305179</c:v>
                </c:pt>
                <c:pt idx="254">
                  <c:v>115.2608109377193</c:v>
                </c:pt>
                <c:pt idx="255">
                  <c:v>112.88202352129136</c:v>
                </c:pt>
                <c:pt idx="256">
                  <c:v>110.49778471703411</c:v>
                </c:pt>
                <c:pt idx="257">
                  <c:v>108.10808203218376</c:v>
                </c:pt>
                <c:pt idx="258">
                  <c:v>105.7129029453473</c:v>
                </c:pt>
                <c:pt idx="259">
                  <c:v>103.31223490643683</c:v>
                </c:pt>
                <c:pt idx="260">
                  <c:v>100.90606533660389</c:v>
                </c:pt>
                <c:pt idx="261">
                  <c:v>98.494381628173386</c:v>
                </c:pt>
                <c:pt idx="262">
                  <c:v>96.077171144577733</c:v>
                </c:pt>
                <c:pt idx="263">
                  <c:v>93.654421220290502</c:v>
                </c:pt>
                <c:pt idx="264">
                  <c:v>91.226119160760121</c:v>
                </c:pt>
                <c:pt idx="265">
                  <c:v>88.792252242343324</c:v>
                </c:pt>
                <c:pt idx="266">
                  <c:v>86.352807712238473</c:v>
                </c:pt>
                <c:pt idx="267">
                  <c:v>83.907772788418796</c:v>
                </c:pt>
                <c:pt idx="268">
                  <c:v>81.457134659565384</c:v>
                </c:pt>
                <c:pt idx="269">
                  <c:v>79.00088048500001</c:v>
                </c:pt>
                <c:pt idx="270">
                  <c:v>76.538997394617908</c:v>
                </c:pt>
                <c:pt idx="271">
                  <c:v>74.071472488820362</c:v>
                </c:pt>
                <c:pt idx="272">
                  <c:v>71.598292838447037</c:v>
                </c:pt>
                <c:pt idx="273">
                  <c:v>69.119445484708265</c:v>
                </c:pt>
                <c:pt idx="274">
                  <c:v>66.634917439117174</c:v>
                </c:pt>
                <c:pt idx="275">
                  <c:v>64.144695683421602</c:v>
                </c:pt>
                <c:pt idx="276">
                  <c:v>61.648767169535887</c:v>
                </c:pt>
                <c:pt idx="277">
                  <c:v>59.147118819472524</c:v>
                </c:pt>
                <c:pt idx="278">
                  <c:v>56.63973752527361</c:v>
                </c:pt>
                <c:pt idx="279">
                  <c:v>54.126610148942142</c:v>
                </c:pt>
                <c:pt idx="280">
                  <c:v>51.607723522373256</c:v>
                </c:pt>
                <c:pt idx="281">
                  <c:v>49.083064447285139</c:v>
                </c:pt>
                <c:pt idx="282">
                  <c:v>46.552619695149964</c:v>
                </c:pt>
                <c:pt idx="283">
                  <c:v>44.016376007124457</c:v>
                </c:pt>
                <c:pt idx="284">
                  <c:v>41.47432009398058</c:v>
                </c:pt>
                <c:pt idx="285">
                  <c:v>38.926438636035734</c:v>
                </c:pt>
                <c:pt idx="286">
                  <c:v>36.372718283083103</c:v>
                </c:pt>
                <c:pt idx="287">
                  <c:v>33.813145654321616</c:v>
                </c:pt>
                <c:pt idx="288">
                  <c:v>31.247707338285892</c:v>
                </c:pt>
                <c:pt idx="289">
                  <c:v>28.676389892775916</c:v>
                </c:pt>
                <c:pt idx="290">
                  <c:v>26.099179844786647</c:v>
                </c:pt>
                <c:pt idx="291">
                  <c:v>23.516063690437402</c:v>
                </c:pt>
                <c:pt idx="292">
                  <c:v>20.927027894901109</c:v>
                </c:pt>
                <c:pt idx="293">
                  <c:v>18.332058892333372</c:v>
                </c:pt>
                <c:pt idx="294">
                  <c:v>15.731143085801422</c:v>
                </c:pt>
                <c:pt idx="295">
                  <c:v>13.124266847212835</c:v>
                </c:pt>
                <c:pt idx="296">
                  <c:v>10.51141651724415</c:v>
                </c:pt>
                <c:pt idx="297">
                  <c:v>7.8925784052692869</c:v>
                </c:pt>
                <c:pt idx="298">
                  <c:v>5.2677387892878142</c:v>
                </c:pt>
                <c:pt idx="299">
                  <c:v>2.6368839158530508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6-2040-9229-343B820BC428}"/>
            </c:ext>
          </c:extLst>
        </c:ser>
        <c:ser>
          <c:idx val="0"/>
          <c:order val="1"/>
          <c:tx>
            <c:strRef>
              <c:f>'Amortization Table'!$D$7</c:f>
              <c:strCache>
                <c:ptCount val="1"/>
                <c:pt idx="0">
                  <c:v>Principle</c:v>
                </c:pt>
              </c:strCache>
            </c:strRef>
          </c:tx>
          <c:spPr>
            <a:solidFill>
              <a:srgbClr val="132A4F"/>
            </a:solidFill>
            <a:ln>
              <a:noFill/>
            </a:ln>
            <a:effectLst/>
          </c:spPr>
          <c:invertIfNegative val="0"/>
          <c:cat>
            <c:numRef>
              <c:f>'Amortization Table'!$C$8:$C$307</c:f>
              <c:numCache>
                <c:formatCode>[$-409]mmm\-yy;@</c:formatCode>
                <c:ptCount val="300"/>
                <c:pt idx="0">
                  <c:v>45570</c:v>
                </c:pt>
                <c:pt idx="1">
                  <c:v>45601</c:v>
                </c:pt>
                <c:pt idx="2">
                  <c:v>45631</c:v>
                </c:pt>
                <c:pt idx="3">
                  <c:v>45662</c:v>
                </c:pt>
                <c:pt idx="4">
                  <c:v>45693</c:v>
                </c:pt>
                <c:pt idx="5">
                  <c:v>45721</c:v>
                </c:pt>
                <c:pt idx="6">
                  <c:v>45752</c:v>
                </c:pt>
                <c:pt idx="7">
                  <c:v>45782</c:v>
                </c:pt>
                <c:pt idx="8">
                  <c:v>45813</c:v>
                </c:pt>
                <c:pt idx="9">
                  <c:v>45843</c:v>
                </c:pt>
                <c:pt idx="10">
                  <c:v>45874</c:v>
                </c:pt>
                <c:pt idx="11">
                  <c:v>45905</c:v>
                </c:pt>
                <c:pt idx="12">
                  <c:v>45935</c:v>
                </c:pt>
                <c:pt idx="13">
                  <c:v>45966</c:v>
                </c:pt>
                <c:pt idx="14">
                  <c:v>45996</c:v>
                </c:pt>
                <c:pt idx="15">
                  <c:v>46027</c:v>
                </c:pt>
                <c:pt idx="16">
                  <c:v>46058</c:v>
                </c:pt>
                <c:pt idx="17">
                  <c:v>46086</c:v>
                </c:pt>
                <c:pt idx="18">
                  <c:v>46117</c:v>
                </c:pt>
                <c:pt idx="19">
                  <c:v>46147</c:v>
                </c:pt>
                <c:pt idx="20">
                  <c:v>46178</c:v>
                </c:pt>
                <c:pt idx="21">
                  <c:v>46208</c:v>
                </c:pt>
                <c:pt idx="22">
                  <c:v>46239</c:v>
                </c:pt>
                <c:pt idx="23">
                  <c:v>46270</c:v>
                </c:pt>
                <c:pt idx="24">
                  <c:v>46300</c:v>
                </c:pt>
                <c:pt idx="25">
                  <c:v>46331</c:v>
                </c:pt>
                <c:pt idx="26">
                  <c:v>46361</c:v>
                </c:pt>
                <c:pt idx="27">
                  <c:v>46392</c:v>
                </c:pt>
                <c:pt idx="28">
                  <c:v>46423</c:v>
                </c:pt>
                <c:pt idx="29">
                  <c:v>46451</c:v>
                </c:pt>
                <c:pt idx="30">
                  <c:v>46482</c:v>
                </c:pt>
                <c:pt idx="31">
                  <c:v>46512</c:v>
                </c:pt>
                <c:pt idx="32">
                  <c:v>46543</c:v>
                </c:pt>
                <c:pt idx="33">
                  <c:v>46573</c:v>
                </c:pt>
                <c:pt idx="34">
                  <c:v>46604</c:v>
                </c:pt>
                <c:pt idx="35">
                  <c:v>46635</c:v>
                </c:pt>
                <c:pt idx="36">
                  <c:v>46665</c:v>
                </c:pt>
                <c:pt idx="37">
                  <c:v>46696</c:v>
                </c:pt>
                <c:pt idx="38">
                  <c:v>46726</c:v>
                </c:pt>
                <c:pt idx="39">
                  <c:v>46757</c:v>
                </c:pt>
                <c:pt idx="40">
                  <c:v>46788</c:v>
                </c:pt>
                <c:pt idx="41">
                  <c:v>46817</c:v>
                </c:pt>
                <c:pt idx="42">
                  <c:v>46848</c:v>
                </c:pt>
                <c:pt idx="43">
                  <c:v>46878</c:v>
                </c:pt>
                <c:pt idx="44">
                  <c:v>46909</c:v>
                </c:pt>
                <c:pt idx="45">
                  <c:v>46939</c:v>
                </c:pt>
                <c:pt idx="46">
                  <c:v>46970</c:v>
                </c:pt>
                <c:pt idx="47">
                  <c:v>47001</c:v>
                </c:pt>
                <c:pt idx="48">
                  <c:v>47031</c:v>
                </c:pt>
                <c:pt idx="49">
                  <c:v>47062</c:v>
                </c:pt>
                <c:pt idx="50">
                  <c:v>47092</c:v>
                </c:pt>
                <c:pt idx="51">
                  <c:v>47123</c:v>
                </c:pt>
                <c:pt idx="52">
                  <c:v>47154</c:v>
                </c:pt>
                <c:pt idx="53">
                  <c:v>47182</c:v>
                </c:pt>
                <c:pt idx="54">
                  <c:v>47213</c:v>
                </c:pt>
                <c:pt idx="55">
                  <c:v>47243</c:v>
                </c:pt>
                <c:pt idx="56">
                  <c:v>47274</c:v>
                </c:pt>
                <c:pt idx="57">
                  <c:v>47304</c:v>
                </c:pt>
                <c:pt idx="58">
                  <c:v>47335</c:v>
                </c:pt>
                <c:pt idx="59">
                  <c:v>47366</c:v>
                </c:pt>
                <c:pt idx="60">
                  <c:v>47396</c:v>
                </c:pt>
                <c:pt idx="61">
                  <c:v>47427</c:v>
                </c:pt>
                <c:pt idx="62">
                  <c:v>47457</c:v>
                </c:pt>
                <c:pt idx="63">
                  <c:v>47488</c:v>
                </c:pt>
                <c:pt idx="64">
                  <c:v>47519</c:v>
                </c:pt>
                <c:pt idx="65">
                  <c:v>47547</c:v>
                </c:pt>
                <c:pt idx="66">
                  <c:v>47578</c:v>
                </c:pt>
                <c:pt idx="67">
                  <c:v>47608</c:v>
                </c:pt>
                <c:pt idx="68">
                  <c:v>47639</c:v>
                </c:pt>
                <c:pt idx="69">
                  <c:v>47669</c:v>
                </c:pt>
                <c:pt idx="70">
                  <c:v>47700</c:v>
                </c:pt>
                <c:pt idx="71">
                  <c:v>47731</c:v>
                </c:pt>
                <c:pt idx="72">
                  <c:v>47761</c:v>
                </c:pt>
                <c:pt idx="73">
                  <c:v>47792</c:v>
                </c:pt>
                <c:pt idx="74">
                  <c:v>47822</c:v>
                </c:pt>
                <c:pt idx="75">
                  <c:v>47853</c:v>
                </c:pt>
                <c:pt idx="76">
                  <c:v>47884</c:v>
                </c:pt>
                <c:pt idx="77">
                  <c:v>47912</c:v>
                </c:pt>
                <c:pt idx="78">
                  <c:v>47943</c:v>
                </c:pt>
                <c:pt idx="79">
                  <c:v>47973</c:v>
                </c:pt>
                <c:pt idx="80">
                  <c:v>48004</c:v>
                </c:pt>
                <c:pt idx="81">
                  <c:v>48034</c:v>
                </c:pt>
                <c:pt idx="82">
                  <c:v>48065</c:v>
                </c:pt>
                <c:pt idx="83">
                  <c:v>48096</c:v>
                </c:pt>
                <c:pt idx="84">
                  <c:v>48126</c:v>
                </c:pt>
                <c:pt idx="85">
                  <c:v>48157</c:v>
                </c:pt>
                <c:pt idx="86">
                  <c:v>48187</c:v>
                </c:pt>
                <c:pt idx="87">
                  <c:v>48218</c:v>
                </c:pt>
                <c:pt idx="88">
                  <c:v>48249</c:v>
                </c:pt>
                <c:pt idx="89">
                  <c:v>48278</c:v>
                </c:pt>
                <c:pt idx="90">
                  <c:v>48309</c:v>
                </c:pt>
                <c:pt idx="91">
                  <c:v>48339</c:v>
                </c:pt>
                <c:pt idx="92">
                  <c:v>48370</c:v>
                </c:pt>
                <c:pt idx="93">
                  <c:v>48400</c:v>
                </c:pt>
                <c:pt idx="94">
                  <c:v>48431</c:v>
                </c:pt>
                <c:pt idx="95">
                  <c:v>48462</c:v>
                </c:pt>
                <c:pt idx="96">
                  <c:v>48492</c:v>
                </c:pt>
                <c:pt idx="97">
                  <c:v>48523</c:v>
                </c:pt>
                <c:pt idx="98">
                  <c:v>48553</c:v>
                </c:pt>
                <c:pt idx="99">
                  <c:v>48584</c:v>
                </c:pt>
                <c:pt idx="100">
                  <c:v>48615</c:v>
                </c:pt>
                <c:pt idx="101">
                  <c:v>48643</c:v>
                </c:pt>
                <c:pt idx="102">
                  <c:v>48674</c:v>
                </c:pt>
                <c:pt idx="103">
                  <c:v>48704</c:v>
                </c:pt>
                <c:pt idx="104">
                  <c:v>48735</c:v>
                </c:pt>
                <c:pt idx="105">
                  <c:v>48765</c:v>
                </c:pt>
                <c:pt idx="106">
                  <c:v>48796</c:v>
                </c:pt>
                <c:pt idx="107">
                  <c:v>48827</c:v>
                </c:pt>
                <c:pt idx="108">
                  <c:v>48857</c:v>
                </c:pt>
                <c:pt idx="109">
                  <c:v>48888</c:v>
                </c:pt>
                <c:pt idx="110">
                  <c:v>48918</c:v>
                </c:pt>
                <c:pt idx="111">
                  <c:v>48949</c:v>
                </c:pt>
                <c:pt idx="112">
                  <c:v>48980</c:v>
                </c:pt>
                <c:pt idx="113">
                  <c:v>49008</c:v>
                </c:pt>
                <c:pt idx="114">
                  <c:v>49039</c:v>
                </c:pt>
                <c:pt idx="115">
                  <c:v>49069</c:v>
                </c:pt>
                <c:pt idx="116">
                  <c:v>49100</c:v>
                </c:pt>
                <c:pt idx="117">
                  <c:v>49130</c:v>
                </c:pt>
                <c:pt idx="118">
                  <c:v>49161</c:v>
                </c:pt>
                <c:pt idx="119">
                  <c:v>49192</c:v>
                </c:pt>
                <c:pt idx="120">
                  <c:v>49222</c:v>
                </c:pt>
                <c:pt idx="121">
                  <c:v>49253</c:v>
                </c:pt>
                <c:pt idx="122">
                  <c:v>49283</c:v>
                </c:pt>
                <c:pt idx="123">
                  <c:v>49314</c:v>
                </c:pt>
                <c:pt idx="124">
                  <c:v>49345</c:v>
                </c:pt>
                <c:pt idx="125">
                  <c:v>49373</c:v>
                </c:pt>
                <c:pt idx="126">
                  <c:v>49404</c:v>
                </c:pt>
                <c:pt idx="127">
                  <c:v>49434</c:v>
                </c:pt>
                <c:pt idx="128">
                  <c:v>49465</c:v>
                </c:pt>
                <c:pt idx="129">
                  <c:v>49495</c:v>
                </c:pt>
                <c:pt idx="130">
                  <c:v>49526</c:v>
                </c:pt>
                <c:pt idx="131">
                  <c:v>49557</c:v>
                </c:pt>
                <c:pt idx="132">
                  <c:v>49587</c:v>
                </c:pt>
                <c:pt idx="133">
                  <c:v>49618</c:v>
                </c:pt>
                <c:pt idx="134">
                  <c:v>49648</c:v>
                </c:pt>
                <c:pt idx="135">
                  <c:v>49679</c:v>
                </c:pt>
                <c:pt idx="136">
                  <c:v>49710</c:v>
                </c:pt>
                <c:pt idx="137">
                  <c:v>49739</c:v>
                </c:pt>
                <c:pt idx="138">
                  <c:v>49770</c:v>
                </c:pt>
                <c:pt idx="139">
                  <c:v>49800</c:v>
                </c:pt>
                <c:pt idx="140">
                  <c:v>49831</c:v>
                </c:pt>
                <c:pt idx="141">
                  <c:v>49861</c:v>
                </c:pt>
                <c:pt idx="142">
                  <c:v>49892</c:v>
                </c:pt>
                <c:pt idx="143">
                  <c:v>49923</c:v>
                </c:pt>
                <c:pt idx="144">
                  <c:v>49953</c:v>
                </c:pt>
                <c:pt idx="145">
                  <c:v>49984</c:v>
                </c:pt>
                <c:pt idx="146">
                  <c:v>50014</c:v>
                </c:pt>
                <c:pt idx="147">
                  <c:v>50045</c:v>
                </c:pt>
                <c:pt idx="148">
                  <c:v>50076</c:v>
                </c:pt>
                <c:pt idx="149">
                  <c:v>50104</c:v>
                </c:pt>
                <c:pt idx="150">
                  <c:v>50135</c:v>
                </c:pt>
                <c:pt idx="151">
                  <c:v>50165</c:v>
                </c:pt>
                <c:pt idx="152">
                  <c:v>50196</c:v>
                </c:pt>
                <c:pt idx="153">
                  <c:v>50226</c:v>
                </c:pt>
                <c:pt idx="154">
                  <c:v>50257</c:v>
                </c:pt>
                <c:pt idx="155">
                  <c:v>50288</c:v>
                </c:pt>
                <c:pt idx="156">
                  <c:v>50318</c:v>
                </c:pt>
                <c:pt idx="157">
                  <c:v>50349</c:v>
                </c:pt>
                <c:pt idx="158">
                  <c:v>50379</c:v>
                </c:pt>
                <c:pt idx="159">
                  <c:v>50410</c:v>
                </c:pt>
                <c:pt idx="160">
                  <c:v>50441</c:v>
                </c:pt>
                <c:pt idx="161">
                  <c:v>50469</c:v>
                </c:pt>
                <c:pt idx="162">
                  <c:v>50500</c:v>
                </c:pt>
                <c:pt idx="163">
                  <c:v>50530</c:v>
                </c:pt>
                <c:pt idx="164">
                  <c:v>50561</c:v>
                </c:pt>
                <c:pt idx="165">
                  <c:v>50591</c:v>
                </c:pt>
                <c:pt idx="166">
                  <c:v>50622</c:v>
                </c:pt>
                <c:pt idx="167">
                  <c:v>50653</c:v>
                </c:pt>
                <c:pt idx="168">
                  <c:v>50683</c:v>
                </c:pt>
                <c:pt idx="169">
                  <c:v>50714</c:v>
                </c:pt>
                <c:pt idx="170">
                  <c:v>50744</c:v>
                </c:pt>
                <c:pt idx="171">
                  <c:v>50775</c:v>
                </c:pt>
                <c:pt idx="172">
                  <c:v>50806</c:v>
                </c:pt>
                <c:pt idx="173">
                  <c:v>50834</c:v>
                </c:pt>
                <c:pt idx="174">
                  <c:v>50865</c:v>
                </c:pt>
                <c:pt idx="175">
                  <c:v>50895</c:v>
                </c:pt>
                <c:pt idx="176">
                  <c:v>50926</c:v>
                </c:pt>
                <c:pt idx="177">
                  <c:v>50956</c:v>
                </c:pt>
                <c:pt idx="178">
                  <c:v>50987</c:v>
                </c:pt>
                <c:pt idx="179">
                  <c:v>51018</c:v>
                </c:pt>
                <c:pt idx="180">
                  <c:v>51048</c:v>
                </c:pt>
                <c:pt idx="181">
                  <c:v>51079</c:v>
                </c:pt>
                <c:pt idx="182">
                  <c:v>51109</c:v>
                </c:pt>
                <c:pt idx="183">
                  <c:v>51140</c:v>
                </c:pt>
                <c:pt idx="184">
                  <c:v>51171</c:v>
                </c:pt>
                <c:pt idx="185">
                  <c:v>51200</c:v>
                </c:pt>
                <c:pt idx="186">
                  <c:v>51231</c:v>
                </c:pt>
                <c:pt idx="187">
                  <c:v>51261</c:v>
                </c:pt>
                <c:pt idx="188">
                  <c:v>51292</c:v>
                </c:pt>
                <c:pt idx="189">
                  <c:v>51322</c:v>
                </c:pt>
                <c:pt idx="190">
                  <c:v>51353</c:v>
                </c:pt>
                <c:pt idx="191">
                  <c:v>51384</c:v>
                </c:pt>
                <c:pt idx="192">
                  <c:v>51414</c:v>
                </c:pt>
                <c:pt idx="193">
                  <c:v>51445</c:v>
                </c:pt>
                <c:pt idx="194">
                  <c:v>51475</c:v>
                </c:pt>
                <c:pt idx="195">
                  <c:v>51506</c:v>
                </c:pt>
                <c:pt idx="196">
                  <c:v>51537</c:v>
                </c:pt>
                <c:pt idx="197">
                  <c:v>51565</c:v>
                </c:pt>
                <c:pt idx="198">
                  <c:v>51596</c:v>
                </c:pt>
                <c:pt idx="199">
                  <c:v>51626</c:v>
                </c:pt>
                <c:pt idx="200">
                  <c:v>51657</c:v>
                </c:pt>
                <c:pt idx="201">
                  <c:v>51687</c:v>
                </c:pt>
                <c:pt idx="202">
                  <c:v>51718</c:v>
                </c:pt>
                <c:pt idx="203">
                  <c:v>51749</c:v>
                </c:pt>
                <c:pt idx="204">
                  <c:v>51779</c:v>
                </c:pt>
                <c:pt idx="205">
                  <c:v>51810</c:v>
                </c:pt>
                <c:pt idx="206">
                  <c:v>51840</c:v>
                </c:pt>
                <c:pt idx="207">
                  <c:v>51871</c:v>
                </c:pt>
                <c:pt idx="208">
                  <c:v>51902</c:v>
                </c:pt>
                <c:pt idx="209">
                  <c:v>51930</c:v>
                </c:pt>
                <c:pt idx="210">
                  <c:v>51961</c:v>
                </c:pt>
                <c:pt idx="211">
                  <c:v>51991</c:v>
                </c:pt>
                <c:pt idx="212">
                  <c:v>52022</c:v>
                </c:pt>
                <c:pt idx="213">
                  <c:v>52052</c:v>
                </c:pt>
                <c:pt idx="214">
                  <c:v>52083</c:v>
                </c:pt>
                <c:pt idx="215">
                  <c:v>52114</c:v>
                </c:pt>
                <c:pt idx="216">
                  <c:v>52144</c:v>
                </c:pt>
                <c:pt idx="217">
                  <c:v>52175</c:v>
                </c:pt>
                <c:pt idx="218">
                  <c:v>52205</c:v>
                </c:pt>
                <c:pt idx="219">
                  <c:v>52236</c:v>
                </c:pt>
                <c:pt idx="220">
                  <c:v>52267</c:v>
                </c:pt>
                <c:pt idx="221">
                  <c:v>52295</c:v>
                </c:pt>
                <c:pt idx="222">
                  <c:v>52326</c:v>
                </c:pt>
                <c:pt idx="223">
                  <c:v>52356</c:v>
                </c:pt>
                <c:pt idx="224">
                  <c:v>52387</c:v>
                </c:pt>
                <c:pt idx="225">
                  <c:v>52417</c:v>
                </c:pt>
                <c:pt idx="226">
                  <c:v>52448</c:v>
                </c:pt>
                <c:pt idx="227">
                  <c:v>52479</c:v>
                </c:pt>
                <c:pt idx="228">
                  <c:v>52509</c:v>
                </c:pt>
                <c:pt idx="229">
                  <c:v>52540</c:v>
                </c:pt>
                <c:pt idx="230">
                  <c:v>52570</c:v>
                </c:pt>
                <c:pt idx="231">
                  <c:v>52601</c:v>
                </c:pt>
                <c:pt idx="232">
                  <c:v>52632</c:v>
                </c:pt>
                <c:pt idx="233">
                  <c:v>52661</c:v>
                </c:pt>
                <c:pt idx="234">
                  <c:v>52692</c:v>
                </c:pt>
                <c:pt idx="235">
                  <c:v>52722</c:v>
                </c:pt>
                <c:pt idx="236">
                  <c:v>52753</c:v>
                </c:pt>
                <c:pt idx="237">
                  <c:v>52783</c:v>
                </c:pt>
                <c:pt idx="238">
                  <c:v>52814</c:v>
                </c:pt>
                <c:pt idx="239">
                  <c:v>52845</c:v>
                </c:pt>
                <c:pt idx="240">
                  <c:v>52875</c:v>
                </c:pt>
                <c:pt idx="241">
                  <c:v>52906</c:v>
                </c:pt>
                <c:pt idx="242">
                  <c:v>52936</c:v>
                </c:pt>
                <c:pt idx="243">
                  <c:v>52967</c:v>
                </c:pt>
                <c:pt idx="244">
                  <c:v>52998</c:v>
                </c:pt>
                <c:pt idx="245">
                  <c:v>53026</c:v>
                </c:pt>
                <c:pt idx="246">
                  <c:v>53057</c:v>
                </c:pt>
                <c:pt idx="247">
                  <c:v>53087</c:v>
                </c:pt>
                <c:pt idx="248">
                  <c:v>53118</c:v>
                </c:pt>
                <c:pt idx="249">
                  <c:v>53148</c:v>
                </c:pt>
                <c:pt idx="250">
                  <c:v>53179</c:v>
                </c:pt>
                <c:pt idx="251">
                  <c:v>53210</c:v>
                </c:pt>
                <c:pt idx="252">
                  <c:v>53240</c:v>
                </c:pt>
                <c:pt idx="253">
                  <c:v>53271</c:v>
                </c:pt>
                <c:pt idx="254">
                  <c:v>53301</c:v>
                </c:pt>
                <c:pt idx="255">
                  <c:v>53332</c:v>
                </c:pt>
                <c:pt idx="256">
                  <c:v>53363</c:v>
                </c:pt>
                <c:pt idx="257">
                  <c:v>53391</c:v>
                </c:pt>
                <c:pt idx="258">
                  <c:v>53422</c:v>
                </c:pt>
                <c:pt idx="259">
                  <c:v>53452</c:v>
                </c:pt>
                <c:pt idx="260">
                  <c:v>53483</c:v>
                </c:pt>
                <c:pt idx="261">
                  <c:v>53513</c:v>
                </c:pt>
                <c:pt idx="262">
                  <c:v>53544</c:v>
                </c:pt>
                <c:pt idx="263">
                  <c:v>53575</c:v>
                </c:pt>
                <c:pt idx="264">
                  <c:v>53605</c:v>
                </c:pt>
                <c:pt idx="265">
                  <c:v>53636</c:v>
                </c:pt>
                <c:pt idx="266">
                  <c:v>53666</c:v>
                </c:pt>
                <c:pt idx="267">
                  <c:v>53697</c:v>
                </c:pt>
                <c:pt idx="268">
                  <c:v>53728</c:v>
                </c:pt>
                <c:pt idx="269">
                  <c:v>53756</c:v>
                </c:pt>
                <c:pt idx="270">
                  <c:v>53787</c:v>
                </c:pt>
                <c:pt idx="271">
                  <c:v>53817</c:v>
                </c:pt>
                <c:pt idx="272">
                  <c:v>53848</c:v>
                </c:pt>
                <c:pt idx="273">
                  <c:v>53878</c:v>
                </c:pt>
                <c:pt idx="274">
                  <c:v>53909</c:v>
                </c:pt>
                <c:pt idx="275">
                  <c:v>53940</c:v>
                </c:pt>
                <c:pt idx="276">
                  <c:v>53970</c:v>
                </c:pt>
                <c:pt idx="277">
                  <c:v>54001</c:v>
                </c:pt>
                <c:pt idx="278">
                  <c:v>54031</c:v>
                </c:pt>
                <c:pt idx="279">
                  <c:v>54062</c:v>
                </c:pt>
                <c:pt idx="280">
                  <c:v>54093</c:v>
                </c:pt>
                <c:pt idx="281">
                  <c:v>54122</c:v>
                </c:pt>
                <c:pt idx="282">
                  <c:v>54153</c:v>
                </c:pt>
                <c:pt idx="283">
                  <c:v>54183</c:v>
                </c:pt>
                <c:pt idx="284">
                  <c:v>54214</c:v>
                </c:pt>
                <c:pt idx="285">
                  <c:v>54244</c:v>
                </c:pt>
                <c:pt idx="286">
                  <c:v>54275</c:v>
                </c:pt>
                <c:pt idx="287">
                  <c:v>54306</c:v>
                </c:pt>
                <c:pt idx="288">
                  <c:v>54336</c:v>
                </c:pt>
                <c:pt idx="289">
                  <c:v>54367</c:v>
                </c:pt>
                <c:pt idx="290">
                  <c:v>54397</c:v>
                </c:pt>
                <c:pt idx="291">
                  <c:v>54428</c:v>
                </c:pt>
                <c:pt idx="292">
                  <c:v>54459</c:v>
                </c:pt>
                <c:pt idx="293">
                  <c:v>54487</c:v>
                </c:pt>
                <c:pt idx="294">
                  <c:v>54518</c:v>
                </c:pt>
                <c:pt idx="295">
                  <c:v>54548</c:v>
                </c:pt>
                <c:pt idx="296">
                  <c:v>54579</c:v>
                </c:pt>
                <c:pt idx="297">
                  <c:v>54609</c:v>
                </c:pt>
                <c:pt idx="298">
                  <c:v>54640</c:v>
                </c:pt>
                <c:pt idx="299">
                  <c:v>54671</c:v>
                </c:pt>
              </c:numCache>
            </c:numRef>
          </c:cat>
          <c:val>
            <c:numRef>
              <c:f>'Amortization Table'!$D$8:$D$307</c:f>
              <c:numCache>
                <c:formatCode>_("$"* #,##0.00_);_("$"* \(#,##0.00\);_("$"* "-"??_);_(@_)</c:formatCode>
                <c:ptCount val="300"/>
                <c:pt idx="0">
                  <c:v>580.36047143960889</c:v>
                </c:pt>
                <c:pt idx="1">
                  <c:v>581.69046418665789</c:v>
                </c:pt>
                <c:pt idx="2">
                  <c:v>583.02350483375233</c:v>
                </c:pt>
                <c:pt idx="3">
                  <c:v>584.35960036566325</c:v>
                </c:pt>
                <c:pt idx="4">
                  <c:v>585.69875778316771</c:v>
                </c:pt>
                <c:pt idx="5">
                  <c:v>587.04098410308745</c:v>
                </c:pt>
                <c:pt idx="6">
                  <c:v>588.38628635832367</c:v>
                </c:pt>
                <c:pt idx="7">
                  <c:v>589.73467159789482</c:v>
                </c:pt>
                <c:pt idx="8">
                  <c:v>591.08614688697344</c:v>
                </c:pt>
                <c:pt idx="9">
                  <c:v>592.44071930692257</c:v>
                </c:pt>
                <c:pt idx="10">
                  <c:v>593.7983959553344</c:v>
                </c:pt>
                <c:pt idx="11">
                  <c:v>595.15918394606547</c:v>
                </c:pt>
                <c:pt idx="12">
                  <c:v>596.52309040927514</c:v>
                </c:pt>
                <c:pt idx="13">
                  <c:v>597.89012249146299</c:v>
                </c:pt>
                <c:pt idx="14">
                  <c:v>599.26028735550608</c:v>
                </c:pt>
                <c:pt idx="15">
                  <c:v>600.6335921806957</c:v>
                </c:pt>
                <c:pt idx="16">
                  <c:v>602.01004416277647</c:v>
                </c:pt>
                <c:pt idx="17">
                  <c:v>603.38965051398282</c:v>
                </c:pt>
                <c:pt idx="18">
                  <c:v>604.77241846307732</c:v>
                </c:pt>
                <c:pt idx="19">
                  <c:v>606.15835525538864</c:v>
                </c:pt>
                <c:pt idx="20">
                  <c:v>607.54746815284886</c:v>
                </c:pt>
                <c:pt idx="21">
                  <c:v>608.93976443403244</c:v>
                </c:pt>
                <c:pt idx="22">
                  <c:v>610.33525139419373</c:v>
                </c:pt>
                <c:pt idx="23">
                  <c:v>611.73393634530544</c:v>
                </c:pt>
                <c:pt idx="24">
                  <c:v>613.13582661609678</c:v>
                </c:pt>
                <c:pt idx="25">
                  <c:v>614.54092955209194</c:v>
                </c:pt>
                <c:pt idx="26">
                  <c:v>615.94925251564894</c:v>
                </c:pt>
                <c:pt idx="27">
                  <c:v>617.36080288599737</c:v>
                </c:pt>
                <c:pt idx="28">
                  <c:v>618.77558805927765</c:v>
                </c:pt>
                <c:pt idx="29">
                  <c:v>620.1936154485802</c:v>
                </c:pt>
                <c:pt idx="30">
                  <c:v>621.61489248398311</c:v>
                </c:pt>
                <c:pt idx="31">
                  <c:v>623.03942661259225</c:v>
                </c:pt>
                <c:pt idx="32">
                  <c:v>624.46722529857948</c:v>
                </c:pt>
                <c:pt idx="33">
                  <c:v>625.8982960232222</c:v>
                </c:pt>
                <c:pt idx="34">
                  <c:v>627.33264628494203</c:v>
                </c:pt>
                <c:pt idx="35">
                  <c:v>628.77028359934491</c:v>
                </c:pt>
                <c:pt idx="36">
                  <c:v>630.21121549926011</c:v>
                </c:pt>
                <c:pt idx="37">
                  <c:v>631.65544953477911</c:v>
                </c:pt>
                <c:pt idx="38">
                  <c:v>633.10299327329642</c:v>
                </c:pt>
                <c:pt idx="39">
                  <c:v>634.55385429954777</c:v>
                </c:pt>
                <c:pt idx="40">
                  <c:v>636.00804021565079</c:v>
                </c:pt>
                <c:pt idx="41">
                  <c:v>637.46555864114521</c:v>
                </c:pt>
                <c:pt idx="42">
                  <c:v>638.92641721303096</c:v>
                </c:pt>
                <c:pt idx="43">
                  <c:v>640.39062358581089</c:v>
                </c:pt>
                <c:pt idx="44">
                  <c:v>641.85818543152834</c:v>
                </c:pt>
                <c:pt idx="45">
                  <c:v>643.32911043980891</c:v>
                </c:pt>
                <c:pt idx="46">
                  <c:v>644.80340631790034</c:v>
                </c:pt>
                <c:pt idx="47">
                  <c:v>646.28108079071194</c:v>
                </c:pt>
                <c:pt idx="48">
                  <c:v>647.76214160085749</c:v>
                </c:pt>
                <c:pt idx="49">
                  <c:v>649.24659650869273</c:v>
                </c:pt>
                <c:pt idx="50">
                  <c:v>650.73445329235847</c:v>
                </c:pt>
                <c:pt idx="51">
                  <c:v>652.22571974782011</c:v>
                </c:pt>
                <c:pt idx="52">
                  <c:v>653.72040368890896</c:v>
                </c:pt>
                <c:pt idx="53">
                  <c:v>655.21851294736268</c:v>
                </c:pt>
                <c:pt idx="54">
                  <c:v>656.72005537286714</c:v>
                </c:pt>
                <c:pt idx="55">
                  <c:v>658.22503883309651</c:v>
                </c:pt>
                <c:pt idx="56">
                  <c:v>659.73347121375571</c:v>
                </c:pt>
                <c:pt idx="57">
                  <c:v>661.24536041862052</c:v>
                </c:pt>
                <c:pt idx="58">
                  <c:v>662.76071436957989</c:v>
                </c:pt>
                <c:pt idx="59">
                  <c:v>664.27954100667694</c:v>
                </c:pt>
                <c:pt idx="60">
                  <c:v>665.8018482881505</c:v>
                </c:pt>
                <c:pt idx="61">
                  <c:v>667.32764419047749</c:v>
                </c:pt>
                <c:pt idx="62">
                  <c:v>668.85693670841397</c:v>
                </c:pt>
                <c:pt idx="63">
                  <c:v>670.38973385503743</c:v>
                </c:pt>
                <c:pt idx="64">
                  <c:v>671.92604366178853</c:v>
                </c:pt>
                <c:pt idx="65">
                  <c:v>673.46587417851345</c:v>
                </c:pt>
                <c:pt idx="66">
                  <c:v>675.0092334735059</c:v>
                </c:pt>
                <c:pt idx="67">
                  <c:v>676.5561296335494</c:v>
                </c:pt>
                <c:pt idx="68">
                  <c:v>678.10657076395955</c:v>
                </c:pt>
                <c:pt idx="69">
                  <c:v>679.6605649886269</c:v>
                </c:pt>
                <c:pt idx="70">
                  <c:v>681.21812045005925</c:v>
                </c:pt>
                <c:pt idx="71">
                  <c:v>682.77924530942403</c:v>
                </c:pt>
                <c:pt idx="72">
                  <c:v>684.34394774659131</c:v>
                </c:pt>
                <c:pt idx="73">
                  <c:v>685.91223596017744</c:v>
                </c:pt>
                <c:pt idx="74">
                  <c:v>687.48411816758608</c:v>
                </c:pt>
                <c:pt idx="75">
                  <c:v>689.05960260505344</c:v>
                </c:pt>
                <c:pt idx="76">
                  <c:v>690.63869752769017</c:v>
                </c:pt>
                <c:pt idx="77">
                  <c:v>692.22141120952438</c:v>
                </c:pt>
                <c:pt idx="78">
                  <c:v>693.80775194354624</c:v>
                </c:pt>
                <c:pt idx="79">
                  <c:v>695.39772804175004</c:v>
                </c:pt>
                <c:pt idx="80">
                  <c:v>696.99134783517911</c:v>
                </c:pt>
                <c:pt idx="81">
                  <c:v>698.5886196739682</c:v>
                </c:pt>
                <c:pt idx="82">
                  <c:v>700.1895519273877</c:v>
                </c:pt>
                <c:pt idx="83">
                  <c:v>701.7941529838879</c:v>
                </c:pt>
                <c:pt idx="84">
                  <c:v>703.40243125114262</c:v>
                </c:pt>
                <c:pt idx="85">
                  <c:v>705.01439515609309</c:v>
                </c:pt>
                <c:pt idx="86">
                  <c:v>706.63005314499253</c:v>
                </c:pt>
                <c:pt idx="87">
                  <c:v>708.2494136834498</c:v>
                </c:pt>
                <c:pt idx="88">
                  <c:v>709.87248525647442</c:v>
                </c:pt>
                <c:pt idx="89">
                  <c:v>711.49927636852044</c:v>
                </c:pt>
                <c:pt idx="90">
                  <c:v>713.1297955435316</c:v>
                </c:pt>
                <c:pt idx="91">
                  <c:v>714.76405132498553</c:v>
                </c:pt>
                <c:pt idx="92">
                  <c:v>716.40205227593879</c:v>
                </c:pt>
                <c:pt idx="93">
                  <c:v>718.04380697907106</c:v>
                </c:pt>
                <c:pt idx="94">
                  <c:v>719.68932403673148</c:v>
                </c:pt>
                <c:pt idx="95">
                  <c:v>721.33861207098232</c:v>
                </c:pt>
                <c:pt idx="96">
                  <c:v>722.99167972364489</c:v>
                </c:pt>
                <c:pt idx="97">
                  <c:v>724.64853565634508</c:v>
                </c:pt>
                <c:pt idx="98">
                  <c:v>726.30918855055734</c:v>
                </c:pt>
                <c:pt idx="99">
                  <c:v>727.97364710765237</c:v>
                </c:pt>
                <c:pt idx="100">
                  <c:v>729.64192004894085</c:v>
                </c:pt>
                <c:pt idx="101">
                  <c:v>731.3140161157196</c:v>
                </c:pt>
                <c:pt idx="102">
                  <c:v>732.9899440693182</c:v>
                </c:pt>
                <c:pt idx="103">
                  <c:v>734.66971269114356</c:v>
                </c:pt>
                <c:pt idx="104">
                  <c:v>736.35333078272743</c:v>
                </c:pt>
                <c:pt idx="105">
                  <c:v>738.0408071657713</c:v>
                </c:pt>
                <c:pt idx="106">
                  <c:v>739.73215068219292</c:v>
                </c:pt>
                <c:pt idx="107">
                  <c:v>741.42737019417291</c:v>
                </c:pt>
                <c:pt idx="108">
                  <c:v>743.12647458420122</c:v>
                </c:pt>
                <c:pt idx="109">
                  <c:v>744.82947275512333</c:v>
                </c:pt>
                <c:pt idx="110">
                  <c:v>746.5363736301872</c:v>
                </c:pt>
                <c:pt idx="111">
                  <c:v>748.24718615308961</c:v>
                </c:pt>
                <c:pt idx="112">
                  <c:v>749.96191928802386</c:v>
                </c:pt>
                <c:pt idx="113">
                  <c:v>751.68058201972553</c:v>
                </c:pt>
                <c:pt idx="114">
                  <c:v>753.40318335352072</c:v>
                </c:pt>
                <c:pt idx="115">
                  <c:v>755.12973231537251</c:v>
                </c:pt>
                <c:pt idx="116">
                  <c:v>756.86023795192864</c:v>
                </c:pt>
                <c:pt idx="117">
                  <c:v>758.59470933056855</c:v>
                </c:pt>
                <c:pt idx="118">
                  <c:v>760.33315553945101</c:v>
                </c:pt>
                <c:pt idx="119">
                  <c:v>762.07558568756224</c:v>
                </c:pt>
                <c:pt idx="120">
                  <c:v>763.82200890476292</c:v>
                </c:pt>
                <c:pt idx="121">
                  <c:v>765.57243434183636</c:v>
                </c:pt>
                <c:pt idx="122">
                  <c:v>767.32687117053638</c:v>
                </c:pt>
                <c:pt idx="123">
                  <c:v>769.0853285836356</c:v>
                </c:pt>
                <c:pt idx="124">
                  <c:v>770.84781579497303</c:v>
                </c:pt>
                <c:pt idx="125">
                  <c:v>772.61434203950307</c:v>
                </c:pt>
                <c:pt idx="126">
                  <c:v>774.38491657334373</c:v>
                </c:pt>
                <c:pt idx="127">
                  <c:v>776.15954867382425</c:v>
                </c:pt>
                <c:pt idx="128">
                  <c:v>777.93824763953523</c:v>
                </c:pt>
                <c:pt idx="129">
                  <c:v>779.72102279037574</c:v>
                </c:pt>
                <c:pt idx="130">
                  <c:v>781.50788346760362</c:v>
                </c:pt>
                <c:pt idx="131">
                  <c:v>783.2988390338835</c:v>
                </c:pt>
                <c:pt idx="132">
                  <c:v>785.09389887333623</c:v>
                </c:pt>
                <c:pt idx="133">
                  <c:v>786.89307239158768</c:v>
                </c:pt>
                <c:pt idx="134">
                  <c:v>788.69636901581839</c:v>
                </c:pt>
                <c:pt idx="135">
                  <c:v>790.50379819481293</c:v>
                </c:pt>
                <c:pt idx="136">
                  <c:v>792.31536939900946</c:v>
                </c:pt>
                <c:pt idx="137">
                  <c:v>794.13109212054883</c:v>
                </c:pt>
                <c:pt idx="138">
                  <c:v>795.95097587332498</c:v>
                </c:pt>
                <c:pt idx="139">
                  <c:v>797.77503019303481</c:v>
                </c:pt>
                <c:pt idx="140">
                  <c:v>799.60326463722708</c:v>
                </c:pt>
                <c:pt idx="141">
                  <c:v>801.43568878535416</c:v>
                </c:pt>
                <c:pt idx="142">
                  <c:v>803.27231223882052</c:v>
                </c:pt>
                <c:pt idx="143">
                  <c:v>805.11314462103451</c:v>
                </c:pt>
                <c:pt idx="144">
                  <c:v>806.95819557745767</c:v>
                </c:pt>
                <c:pt idx="145">
                  <c:v>808.80747477565603</c:v>
                </c:pt>
                <c:pt idx="146">
                  <c:v>810.66099190535022</c:v>
                </c:pt>
                <c:pt idx="147">
                  <c:v>812.51875667846662</c:v>
                </c:pt>
                <c:pt idx="148">
                  <c:v>814.3807788291881</c:v>
                </c:pt>
                <c:pt idx="149">
                  <c:v>816.24706811400506</c:v>
                </c:pt>
                <c:pt idx="150">
                  <c:v>818.11763431176632</c:v>
                </c:pt>
                <c:pt idx="151">
                  <c:v>819.99248722373079</c:v>
                </c:pt>
                <c:pt idx="152">
                  <c:v>821.87163667361847</c:v>
                </c:pt>
                <c:pt idx="153">
                  <c:v>823.7550925076622</c:v>
                </c:pt>
                <c:pt idx="154">
                  <c:v>825.64286459465893</c:v>
                </c:pt>
                <c:pt idx="155">
                  <c:v>827.53496282602168</c:v>
                </c:pt>
                <c:pt idx="156">
                  <c:v>829.43139711583126</c:v>
                </c:pt>
                <c:pt idx="157">
                  <c:v>831.33217740088844</c:v>
                </c:pt>
                <c:pt idx="158">
                  <c:v>833.23731364076548</c:v>
                </c:pt>
                <c:pt idx="159">
                  <c:v>835.14681581785885</c:v>
                </c:pt>
                <c:pt idx="160">
                  <c:v>837.06069393744156</c:v>
                </c:pt>
                <c:pt idx="161">
                  <c:v>838.97895802771473</c:v>
                </c:pt>
                <c:pt idx="162">
                  <c:v>840.90161813986174</c:v>
                </c:pt>
                <c:pt idx="163">
                  <c:v>842.82868434809882</c:v>
                </c:pt>
                <c:pt idx="164">
                  <c:v>844.76016674972993</c:v>
                </c:pt>
                <c:pt idx="165">
                  <c:v>846.69607546519796</c:v>
                </c:pt>
                <c:pt idx="166">
                  <c:v>848.63642063813904</c:v>
                </c:pt>
                <c:pt idx="167">
                  <c:v>850.58121243543485</c:v>
                </c:pt>
                <c:pt idx="168">
                  <c:v>852.53046104726604</c:v>
                </c:pt>
                <c:pt idx="169">
                  <c:v>854.48417668716593</c:v>
                </c:pt>
                <c:pt idx="170">
                  <c:v>856.4423695920741</c:v>
                </c:pt>
                <c:pt idx="171">
                  <c:v>858.40505002238933</c:v>
                </c:pt>
                <c:pt idx="172">
                  <c:v>860.3722282620239</c:v>
                </c:pt>
                <c:pt idx="173">
                  <c:v>862.3439146184578</c:v>
                </c:pt>
                <c:pt idx="174">
                  <c:v>864.32011942279166</c:v>
                </c:pt>
                <c:pt idx="175">
                  <c:v>866.30085302980228</c:v>
                </c:pt>
                <c:pt idx="176">
                  <c:v>868.28612581799553</c:v>
                </c:pt>
                <c:pt idx="177">
                  <c:v>870.27594818966168</c:v>
                </c:pt>
                <c:pt idx="178">
                  <c:v>872.27033057092967</c:v>
                </c:pt>
                <c:pt idx="179">
                  <c:v>874.26928341182156</c:v>
                </c:pt>
                <c:pt idx="180">
                  <c:v>876.27281718630684</c:v>
                </c:pt>
                <c:pt idx="181">
                  <c:v>878.28094239235884</c:v>
                </c:pt>
                <c:pt idx="182">
                  <c:v>880.29366955200805</c:v>
                </c:pt>
                <c:pt idx="183">
                  <c:v>882.31100921139796</c:v>
                </c:pt>
                <c:pt idx="184">
                  <c:v>884.33297194084082</c:v>
                </c:pt>
                <c:pt idx="185">
                  <c:v>886.35956833487194</c:v>
                </c:pt>
                <c:pt idx="186">
                  <c:v>888.39080901230591</c:v>
                </c:pt>
                <c:pt idx="187">
                  <c:v>890.42670461629245</c:v>
                </c:pt>
                <c:pt idx="188">
                  <c:v>892.46726581437156</c:v>
                </c:pt>
                <c:pt idx="189">
                  <c:v>894.51250329852951</c:v>
                </c:pt>
                <c:pt idx="190">
                  <c:v>896.5624277852553</c:v>
                </c:pt>
                <c:pt idx="191">
                  <c:v>898.61705001559653</c:v>
                </c:pt>
                <c:pt idx="192">
                  <c:v>900.67638075521552</c:v>
                </c:pt>
                <c:pt idx="193">
                  <c:v>902.74043079444618</c:v>
                </c:pt>
                <c:pt idx="194">
                  <c:v>904.80921094835014</c:v>
                </c:pt>
                <c:pt idx="195">
                  <c:v>906.88273205677342</c:v>
                </c:pt>
                <c:pt idx="196">
                  <c:v>908.96100498440364</c:v>
                </c:pt>
                <c:pt idx="197">
                  <c:v>911.04404062082619</c:v>
                </c:pt>
                <c:pt idx="198">
                  <c:v>913.13184988058219</c:v>
                </c:pt>
                <c:pt idx="199">
                  <c:v>915.22444370322523</c:v>
                </c:pt>
                <c:pt idx="200">
                  <c:v>917.32183305337844</c:v>
                </c:pt>
                <c:pt idx="201">
                  <c:v>919.42402892079247</c:v>
                </c:pt>
                <c:pt idx="202">
                  <c:v>921.53104232040255</c:v>
                </c:pt>
                <c:pt idx="203">
                  <c:v>923.64288429238695</c:v>
                </c:pt>
                <c:pt idx="204">
                  <c:v>925.75956590222358</c:v>
                </c:pt>
                <c:pt idx="205">
                  <c:v>927.88109824074945</c:v>
                </c:pt>
                <c:pt idx="206">
                  <c:v>930.00749242421784</c:v>
                </c:pt>
                <c:pt idx="207">
                  <c:v>932.13875959435677</c:v>
                </c:pt>
                <c:pt idx="208">
                  <c:v>934.27491091842705</c:v>
                </c:pt>
                <c:pt idx="209">
                  <c:v>936.4159575892819</c:v>
                </c:pt>
                <c:pt idx="210">
                  <c:v>938.56191082542387</c:v>
                </c:pt>
                <c:pt idx="211">
                  <c:v>940.71278187106554</c:v>
                </c:pt>
                <c:pt idx="212">
                  <c:v>942.86858199618678</c:v>
                </c:pt>
                <c:pt idx="213">
                  <c:v>945.02932249659466</c:v>
                </c:pt>
                <c:pt idx="214">
                  <c:v>947.19501469398267</c:v>
                </c:pt>
                <c:pt idx="215">
                  <c:v>949.36566993598979</c:v>
                </c:pt>
                <c:pt idx="216">
                  <c:v>951.54129959625971</c:v>
                </c:pt>
                <c:pt idx="217">
                  <c:v>953.72191507450111</c:v>
                </c:pt>
                <c:pt idx="218">
                  <c:v>955.9075277965469</c:v>
                </c:pt>
                <c:pt idx="219">
                  <c:v>958.09814921441398</c:v>
                </c:pt>
                <c:pt idx="220">
                  <c:v>960.29379080636363</c:v>
                </c:pt>
                <c:pt idx="221">
                  <c:v>962.49446407696155</c:v>
                </c:pt>
                <c:pt idx="222">
                  <c:v>964.70018055713797</c:v>
                </c:pt>
                <c:pt idx="223">
                  <c:v>966.91095180424804</c:v>
                </c:pt>
                <c:pt idx="224">
                  <c:v>969.12678940213277</c:v>
                </c:pt>
                <c:pt idx="225">
                  <c:v>971.34770496117937</c:v>
                </c:pt>
                <c:pt idx="226">
                  <c:v>973.57371011838211</c:v>
                </c:pt>
                <c:pt idx="227">
                  <c:v>975.80481653740333</c:v>
                </c:pt>
                <c:pt idx="228">
                  <c:v>978.04103590863485</c:v>
                </c:pt>
                <c:pt idx="229">
                  <c:v>980.28237994925883</c:v>
                </c:pt>
                <c:pt idx="230">
                  <c:v>982.52886040330918</c:v>
                </c:pt>
                <c:pt idx="231">
                  <c:v>984.78048904173352</c:v>
                </c:pt>
                <c:pt idx="232">
                  <c:v>987.03727766245413</c:v>
                </c:pt>
                <c:pt idx="233">
                  <c:v>989.29923809043055</c:v>
                </c:pt>
                <c:pt idx="234">
                  <c:v>991.56638217772115</c:v>
                </c:pt>
                <c:pt idx="235">
                  <c:v>993.83872180354501</c:v>
                </c:pt>
                <c:pt idx="236">
                  <c:v>996.11626887434488</c:v>
                </c:pt>
                <c:pt idx="237">
                  <c:v>998.39903532384858</c:v>
                </c:pt>
                <c:pt idx="238">
                  <c:v>1000.6870331131324</c:v>
                </c:pt>
                <c:pt idx="239">
                  <c:v>1002.9802742306833</c:v>
                </c:pt>
                <c:pt idx="240">
                  <c:v>1005.278770692462</c:v>
                </c:pt>
                <c:pt idx="241">
                  <c:v>1007.5825345419655</c:v>
                </c:pt>
                <c:pt idx="242">
                  <c:v>1009.8915778502909</c:v>
                </c:pt>
                <c:pt idx="243">
                  <c:v>1012.2059127161978</c:v>
                </c:pt>
                <c:pt idx="244">
                  <c:v>1014.5255512661724</c:v>
                </c:pt>
                <c:pt idx="245">
                  <c:v>1016.8505056544907</c:v>
                </c:pt>
                <c:pt idx="246">
                  <c:v>1019.1807880632823</c:v>
                </c:pt>
                <c:pt idx="247">
                  <c:v>1021.5164107025939</c:v>
                </c:pt>
                <c:pt idx="248">
                  <c:v>1023.857385810454</c:v>
                </c:pt>
                <c:pt idx="249">
                  <c:v>1026.2037256529363</c:v>
                </c:pt>
                <c:pt idx="250">
                  <c:v>1028.5554425242244</c:v>
                </c:pt>
                <c:pt idx="251">
                  <c:v>1030.9125487466756</c:v>
                </c:pt>
                <c:pt idx="252">
                  <c:v>1033.2750566708869</c:v>
                </c:pt>
                <c:pt idx="253">
                  <c:v>1035.6429786757576</c:v>
                </c:pt>
                <c:pt idx="254">
                  <c:v>1038.0163271685562</c:v>
                </c:pt>
                <c:pt idx="255">
                  <c:v>1040.3951145849842</c:v>
                </c:pt>
                <c:pt idx="256">
                  <c:v>1042.7793533892414</c:v>
                </c:pt>
                <c:pt idx="257">
                  <c:v>1045.1690560740917</c:v>
                </c:pt>
                <c:pt idx="258">
                  <c:v>1047.5642351609283</c:v>
                </c:pt>
                <c:pt idx="259">
                  <c:v>1049.9649031998388</c:v>
                </c:pt>
                <c:pt idx="260">
                  <c:v>1052.3710727696716</c:v>
                </c:pt>
                <c:pt idx="261">
                  <c:v>1054.7827564781021</c:v>
                </c:pt>
                <c:pt idx="262">
                  <c:v>1057.1999669616978</c:v>
                </c:pt>
                <c:pt idx="263">
                  <c:v>1059.622716885985</c:v>
                </c:pt>
                <c:pt idx="264">
                  <c:v>1062.0510189455154</c:v>
                </c:pt>
                <c:pt idx="265">
                  <c:v>1064.4848858639323</c:v>
                </c:pt>
                <c:pt idx="266">
                  <c:v>1066.924330394037</c:v>
                </c:pt>
                <c:pt idx="267">
                  <c:v>1069.3693653178568</c:v>
                </c:pt>
                <c:pt idx="268">
                  <c:v>1071.8200034467102</c:v>
                </c:pt>
                <c:pt idx="269">
                  <c:v>1074.2762576212756</c:v>
                </c:pt>
                <c:pt idx="270">
                  <c:v>1076.7381407116577</c:v>
                </c:pt>
                <c:pt idx="271">
                  <c:v>1079.2056656174552</c:v>
                </c:pt>
                <c:pt idx="272">
                  <c:v>1081.6788452678284</c:v>
                </c:pt>
                <c:pt idx="273">
                  <c:v>1084.1576926215673</c:v>
                </c:pt>
                <c:pt idx="274">
                  <c:v>1086.6422206671584</c:v>
                </c:pt>
                <c:pt idx="275">
                  <c:v>1089.132442422854</c:v>
                </c:pt>
                <c:pt idx="276">
                  <c:v>1091.6283709367397</c:v>
                </c:pt>
                <c:pt idx="277">
                  <c:v>1094.130019286803</c:v>
                </c:pt>
                <c:pt idx="278">
                  <c:v>1096.6374005810019</c:v>
                </c:pt>
                <c:pt idx="279">
                  <c:v>1099.1505279573335</c:v>
                </c:pt>
                <c:pt idx="280">
                  <c:v>1101.6694145839022</c:v>
                </c:pt>
                <c:pt idx="281">
                  <c:v>1104.1940736589904</c:v>
                </c:pt>
                <c:pt idx="282">
                  <c:v>1106.7245184111255</c:v>
                </c:pt>
                <c:pt idx="283">
                  <c:v>1109.260762099151</c:v>
                </c:pt>
                <c:pt idx="284">
                  <c:v>1111.8028180122949</c:v>
                </c:pt>
                <c:pt idx="285">
                  <c:v>1114.3506994702398</c:v>
                </c:pt>
                <c:pt idx="286">
                  <c:v>1116.9044198231925</c:v>
                </c:pt>
                <c:pt idx="287">
                  <c:v>1119.4639924519538</c:v>
                </c:pt>
                <c:pt idx="288">
                  <c:v>1122.0294307679897</c:v>
                </c:pt>
                <c:pt idx="289">
                  <c:v>1124.6007482134996</c:v>
                </c:pt>
                <c:pt idx="290">
                  <c:v>1127.1779582614888</c:v>
                </c:pt>
                <c:pt idx="291">
                  <c:v>1129.761074415838</c:v>
                </c:pt>
                <c:pt idx="292">
                  <c:v>1132.3501102113744</c:v>
                </c:pt>
                <c:pt idx="293">
                  <c:v>1134.9450792139421</c:v>
                </c:pt>
                <c:pt idx="294">
                  <c:v>1137.545995020474</c:v>
                </c:pt>
                <c:pt idx="295">
                  <c:v>1140.1528712590627</c:v>
                </c:pt>
                <c:pt idx="296">
                  <c:v>1142.7657215890313</c:v>
                </c:pt>
                <c:pt idx="297">
                  <c:v>1145.3845597010063</c:v>
                </c:pt>
                <c:pt idx="298">
                  <c:v>1148.0093993169878</c:v>
                </c:pt>
                <c:pt idx="299">
                  <c:v>1150.6402541904224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6-2040-9229-343B820BC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16791759"/>
        <c:axId val="363599503"/>
      </c:barChart>
      <c:dateAx>
        <c:axId val="1916791759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363599503"/>
        <c:crosses val="autoZero"/>
        <c:auto val="1"/>
        <c:lblOffset val="100"/>
        <c:baseTimeUnit val="months"/>
      </c:dateAx>
      <c:valAx>
        <c:axId val="36359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79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9773</xdr:colOff>
      <xdr:row>5</xdr:row>
      <xdr:rowOff>9761</xdr:rowOff>
    </xdr:from>
    <xdr:to>
      <xdr:col>9</xdr:col>
      <xdr:colOff>826012</xdr:colOff>
      <xdr:row>17</xdr:row>
      <xdr:rowOff>253601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D6E5E6-AD58-3C44-A1FA-F535CDF92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9769</xdr:colOff>
      <xdr:row>5</xdr:row>
      <xdr:rowOff>9776</xdr:rowOff>
    </xdr:from>
    <xdr:to>
      <xdr:col>19</xdr:col>
      <xdr:colOff>828743</xdr:colOff>
      <xdr:row>11</xdr:row>
      <xdr:rowOff>3680</xdr:rowOff>
    </xdr:to>
    <xdr:sp macro="" textlink="EMI">
      <xdr:nvSpPr>
        <xdr:cNvPr id="3" name="Rounded Rectangle 2">
          <a:extLst>
            <a:ext uri="{FF2B5EF4-FFF2-40B4-BE49-F238E27FC236}">
              <a16:creationId xmlns:a16="http://schemas.microsoft.com/office/drawing/2014/main" id="{5DEA99B8-D3D2-7542-B5C0-CE7F6BB71921}"/>
            </a:ext>
          </a:extLst>
        </xdr:cNvPr>
        <xdr:cNvSpPr/>
      </xdr:nvSpPr>
      <xdr:spPr>
        <a:xfrm>
          <a:off x="11146692" y="1260238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EMI</a:t>
          </a:r>
          <a:br>
            <a:rPr lang="en-US" sz="1200" b="0" i="0" u="none" strike="noStrike">
              <a:solidFill>
                <a:srgbClr val="000000"/>
              </a:solidFill>
              <a:latin typeface="Aptos-Narrow"/>
            </a:rPr>
          </a:br>
          <a:fld id="{FFDDA61F-F39C-0B40-87B6-9F5445068E5F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$1,153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5864</xdr:colOff>
      <xdr:row>19</xdr:row>
      <xdr:rowOff>5865</xdr:rowOff>
    </xdr:from>
    <xdr:to>
      <xdr:col>4</xdr:col>
      <xdr:colOff>824838</xdr:colOff>
      <xdr:row>24</xdr:row>
      <xdr:rowOff>253769</xdr:rowOff>
    </xdr:to>
    <xdr:sp macro="" textlink="principleDue">
      <xdr:nvSpPr>
        <xdr:cNvPr id="5" name="Rounded Rectangle 4">
          <a:extLst>
            <a:ext uri="{FF2B5EF4-FFF2-40B4-BE49-F238E27FC236}">
              <a16:creationId xmlns:a16="http://schemas.microsoft.com/office/drawing/2014/main" id="{50CAA43E-929B-604D-A05C-686F17BDB75C}"/>
            </a:ext>
          </a:extLst>
        </xdr:cNvPr>
        <xdr:cNvSpPr/>
      </xdr:nvSpPr>
      <xdr:spPr>
        <a:xfrm>
          <a:off x="298941" y="4812327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Principle Due</a:t>
          </a:r>
          <a:br>
            <a:rPr lang="en-US" sz="1200" b="0" i="0" u="none" strike="noStrike">
              <a:solidFill>
                <a:srgbClr val="000000"/>
              </a:solidFill>
              <a:latin typeface="Aptos-Narrow"/>
            </a:rPr>
          </a:br>
          <a:fld id="{D1E39882-A7D0-D640-95D1-9F3F45E74EB7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$244,136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11728</xdr:colOff>
      <xdr:row>5</xdr:row>
      <xdr:rowOff>11734</xdr:rowOff>
    </xdr:from>
    <xdr:to>
      <xdr:col>15</xdr:col>
      <xdr:colOff>318</xdr:colOff>
      <xdr:row>11</xdr:row>
      <xdr:rowOff>5638</xdr:rowOff>
    </xdr:to>
    <xdr:sp macro="" textlink="principlePaid">
      <xdr:nvSpPr>
        <xdr:cNvPr id="6" name="Rounded Rectangle 5">
          <a:extLst>
            <a:ext uri="{FF2B5EF4-FFF2-40B4-BE49-F238E27FC236}">
              <a16:creationId xmlns:a16="http://schemas.microsoft.com/office/drawing/2014/main" id="{07E04CBD-CB4A-E040-AC7A-2C1BF193C17C}"/>
            </a:ext>
          </a:extLst>
        </xdr:cNvPr>
        <xdr:cNvSpPr/>
      </xdr:nvSpPr>
      <xdr:spPr>
        <a:xfrm>
          <a:off x="7534036" y="1262196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Principle Paid</a:t>
          </a:r>
          <a:br>
            <a:rPr lang="en-US" sz="1200" b="0" i="0" u="none" strike="noStrike">
              <a:solidFill>
                <a:srgbClr val="000000"/>
              </a:solidFill>
              <a:latin typeface="Aptos-Narrow"/>
            </a:rPr>
          </a:br>
          <a:fld id="{17797DC2-6DA2-2F40-BF19-79693AD72DF6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$5,864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15632</xdr:colOff>
      <xdr:row>26</xdr:row>
      <xdr:rowOff>5858</xdr:rowOff>
    </xdr:from>
    <xdr:to>
      <xdr:col>5</xdr:col>
      <xdr:colOff>4222</xdr:colOff>
      <xdr:row>31</xdr:row>
      <xdr:rowOff>253762</xdr:rowOff>
    </xdr:to>
    <xdr:sp macro="" textlink="totalInterestPayable">
      <xdr:nvSpPr>
        <xdr:cNvPr id="7" name="Rounded Rectangle 6">
          <a:extLst>
            <a:ext uri="{FF2B5EF4-FFF2-40B4-BE49-F238E27FC236}">
              <a16:creationId xmlns:a16="http://schemas.microsoft.com/office/drawing/2014/main" id="{85F9D4A8-EE7D-D448-840E-7EA1EE9DE097}"/>
            </a:ext>
          </a:extLst>
        </xdr:cNvPr>
        <xdr:cNvSpPr/>
      </xdr:nvSpPr>
      <xdr:spPr>
        <a:xfrm>
          <a:off x="308709" y="6590320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Total Interest Payable</a:t>
          </a:r>
          <a:br>
            <a:rPr lang="en-US" sz="1200" b="0" i="0" u="none" strike="noStrike">
              <a:solidFill>
                <a:srgbClr val="000000"/>
              </a:solidFill>
              <a:latin typeface="Aptos-Narrow"/>
            </a:rPr>
          </a:br>
          <a:fld id="{3747BCC0-C5A4-3640-880F-F289EE69461E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$95,983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6</xdr:col>
      <xdr:colOff>1954</xdr:colOff>
      <xdr:row>19</xdr:row>
      <xdr:rowOff>11725</xdr:rowOff>
    </xdr:from>
    <xdr:to>
      <xdr:col>9</xdr:col>
      <xdr:colOff>820928</xdr:colOff>
      <xdr:row>25</xdr:row>
      <xdr:rowOff>5629</xdr:rowOff>
    </xdr:to>
    <xdr:sp macro="" textlink="interestDue">
      <xdr:nvSpPr>
        <xdr:cNvPr id="8" name="Rounded Rectangle 7">
          <a:extLst>
            <a:ext uri="{FF2B5EF4-FFF2-40B4-BE49-F238E27FC236}">
              <a16:creationId xmlns:a16="http://schemas.microsoft.com/office/drawing/2014/main" id="{4B1CF011-51AE-F644-AA02-765A865685DA}"/>
            </a:ext>
          </a:extLst>
        </xdr:cNvPr>
        <xdr:cNvSpPr/>
      </xdr:nvSpPr>
      <xdr:spPr>
        <a:xfrm>
          <a:off x="3909646" y="4818187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Interest Due</a:t>
          </a:r>
          <a:br>
            <a:rPr lang="en-US" sz="1600" b="0" i="0" u="none" strike="noStrike">
              <a:solidFill>
                <a:schemeClr val="accent2"/>
              </a:solidFill>
              <a:latin typeface="Aptos-Narrow"/>
            </a:rPr>
          </a:br>
          <a:fld id="{5C4DFFB7-6C8E-1D45-BCA1-C3DA4355DA60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$90,314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6</xdr:col>
      <xdr:colOff>7821</xdr:colOff>
      <xdr:row>26</xdr:row>
      <xdr:rowOff>7815</xdr:rowOff>
    </xdr:from>
    <xdr:to>
      <xdr:col>9</xdr:col>
      <xdr:colOff>826795</xdr:colOff>
      <xdr:row>32</xdr:row>
      <xdr:rowOff>1719</xdr:rowOff>
    </xdr:to>
    <xdr:sp macro="" textlink="interestPaid">
      <xdr:nvSpPr>
        <xdr:cNvPr id="9" name="Rounded Rectangle 8">
          <a:extLst>
            <a:ext uri="{FF2B5EF4-FFF2-40B4-BE49-F238E27FC236}">
              <a16:creationId xmlns:a16="http://schemas.microsoft.com/office/drawing/2014/main" id="{9AF3A90C-B32E-994D-83C2-A9D8AFAF661B}"/>
            </a:ext>
          </a:extLst>
        </xdr:cNvPr>
        <xdr:cNvSpPr/>
      </xdr:nvSpPr>
      <xdr:spPr>
        <a:xfrm>
          <a:off x="3915513" y="6592277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Interest Paid</a:t>
          </a:r>
          <a:br>
            <a:rPr lang="en-US" sz="1200" b="0" i="0" u="none" strike="noStrike">
              <a:solidFill>
                <a:srgbClr val="000000"/>
              </a:solidFill>
              <a:latin typeface="Aptos-Narrow"/>
            </a:rPr>
          </a:br>
          <a:fld id="{F5E7BBE8-D2BA-2447-9E91-85F7B4745A99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$5,669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5862</xdr:colOff>
      <xdr:row>12</xdr:row>
      <xdr:rowOff>5858</xdr:rowOff>
    </xdr:from>
    <xdr:to>
      <xdr:col>14</xdr:col>
      <xdr:colOff>824836</xdr:colOff>
      <xdr:row>17</xdr:row>
      <xdr:rowOff>253762</xdr:rowOff>
    </xdr:to>
    <xdr:sp macro="" textlink="totalInsurance">
      <xdr:nvSpPr>
        <xdr:cNvPr id="10" name="Rounded Rectangle 9">
          <a:extLst>
            <a:ext uri="{FF2B5EF4-FFF2-40B4-BE49-F238E27FC236}">
              <a16:creationId xmlns:a16="http://schemas.microsoft.com/office/drawing/2014/main" id="{4510F36A-99FC-E340-BF3F-E217BE2A0494}"/>
            </a:ext>
          </a:extLst>
        </xdr:cNvPr>
        <xdr:cNvSpPr/>
      </xdr:nvSpPr>
      <xdr:spPr>
        <a:xfrm>
          <a:off x="7528170" y="3034320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Total</a:t>
          </a:r>
          <a:r>
            <a:rPr lang="en-US" sz="1600" b="0" i="0" u="none" strike="noStrike" baseline="0">
              <a:solidFill>
                <a:schemeClr val="accent2"/>
              </a:solidFill>
              <a:latin typeface="Aptos-Narrow"/>
            </a:rPr>
            <a:t> Insurance Payable</a:t>
          </a:r>
          <a:br>
            <a:rPr lang="en-US" sz="1200" b="0" i="0" u="none" strike="noStrike" baseline="0">
              <a:solidFill>
                <a:srgbClr val="000000"/>
              </a:solidFill>
              <a:latin typeface="Aptos-Narrow"/>
            </a:rPr>
          </a:br>
          <a:fld id="{9A944B8C-1EF4-9A41-9B29-E64B9097D19F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$17,064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11716</xdr:colOff>
      <xdr:row>19</xdr:row>
      <xdr:rowOff>11721</xdr:rowOff>
    </xdr:from>
    <xdr:to>
      <xdr:col>15</xdr:col>
      <xdr:colOff>306</xdr:colOff>
      <xdr:row>25</xdr:row>
      <xdr:rowOff>5625</xdr:rowOff>
    </xdr:to>
    <xdr:sp macro="" textlink="insuranceDue">
      <xdr:nvSpPr>
        <xdr:cNvPr id="11" name="Rounded Rectangle 10">
          <a:extLst>
            <a:ext uri="{FF2B5EF4-FFF2-40B4-BE49-F238E27FC236}">
              <a16:creationId xmlns:a16="http://schemas.microsoft.com/office/drawing/2014/main" id="{2E47548A-78EA-394D-BBE8-2CA4D715F050}"/>
            </a:ext>
          </a:extLst>
        </xdr:cNvPr>
        <xdr:cNvSpPr/>
      </xdr:nvSpPr>
      <xdr:spPr>
        <a:xfrm>
          <a:off x="7534024" y="4818183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Insurance Due</a:t>
          </a:r>
          <a:br>
            <a:rPr lang="en-US" sz="1200" b="0" i="0" u="none" strike="noStrike">
              <a:solidFill>
                <a:srgbClr val="000000"/>
              </a:solidFill>
              <a:latin typeface="Aptos-Narrow"/>
            </a:rPr>
          </a:br>
          <a:fld id="{2027C749-B4EC-F041-8F0D-B26E2622E4F1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$16,495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7820</xdr:colOff>
      <xdr:row>26</xdr:row>
      <xdr:rowOff>7816</xdr:rowOff>
    </xdr:from>
    <xdr:to>
      <xdr:col>14</xdr:col>
      <xdr:colOff>826794</xdr:colOff>
      <xdr:row>32</xdr:row>
      <xdr:rowOff>1720</xdr:rowOff>
    </xdr:to>
    <xdr:sp macro="" textlink="insurancePaid">
      <xdr:nvSpPr>
        <xdr:cNvPr id="12" name="Rounded Rectangle 11">
          <a:extLst>
            <a:ext uri="{FF2B5EF4-FFF2-40B4-BE49-F238E27FC236}">
              <a16:creationId xmlns:a16="http://schemas.microsoft.com/office/drawing/2014/main" id="{CF7423BA-4111-0D42-8863-00E63D98B5B6}"/>
            </a:ext>
          </a:extLst>
        </xdr:cNvPr>
        <xdr:cNvSpPr/>
      </xdr:nvSpPr>
      <xdr:spPr>
        <a:xfrm>
          <a:off x="7530128" y="6592278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Insurance Paid</a:t>
          </a:r>
          <a:br>
            <a:rPr lang="en-US" sz="1200" b="0" i="0" u="none" strike="noStrike">
              <a:solidFill>
                <a:srgbClr val="000000"/>
              </a:solidFill>
              <a:latin typeface="Aptos-Narrow"/>
            </a:rPr>
          </a:br>
          <a:fld id="{FB9F152F-C0F4-E642-814D-5BBDCD8BC6EA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$569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16</xdr:col>
      <xdr:colOff>9769</xdr:colOff>
      <xdr:row>12</xdr:row>
      <xdr:rowOff>5857</xdr:rowOff>
    </xdr:from>
    <xdr:to>
      <xdr:col>19</xdr:col>
      <xdr:colOff>828743</xdr:colOff>
      <xdr:row>17</xdr:row>
      <xdr:rowOff>253761</xdr:rowOff>
    </xdr:to>
    <xdr:sp macro="" textlink="totalPayback">
      <xdr:nvSpPr>
        <xdr:cNvPr id="13" name="Rounded Rectangle 12">
          <a:extLst>
            <a:ext uri="{FF2B5EF4-FFF2-40B4-BE49-F238E27FC236}">
              <a16:creationId xmlns:a16="http://schemas.microsoft.com/office/drawing/2014/main" id="{52062FA1-7637-F44A-AC7E-CDB946C08195}"/>
            </a:ext>
          </a:extLst>
        </xdr:cNvPr>
        <xdr:cNvSpPr/>
      </xdr:nvSpPr>
      <xdr:spPr>
        <a:xfrm>
          <a:off x="11146692" y="3034319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Total</a:t>
          </a:r>
          <a:r>
            <a:rPr lang="en-US" sz="1600" b="0" i="0" u="none" strike="noStrike" baseline="0">
              <a:solidFill>
                <a:schemeClr val="accent2"/>
              </a:solidFill>
              <a:latin typeface="Aptos-Narrow"/>
            </a:rPr>
            <a:t> Payback Amount</a:t>
          </a:r>
          <a:br>
            <a:rPr lang="en-US" sz="1200" b="0" i="0" u="none" strike="noStrike" baseline="0">
              <a:solidFill>
                <a:srgbClr val="000000"/>
              </a:solidFill>
              <a:latin typeface="Aptos-Narrow"/>
            </a:rPr>
          </a:br>
          <a:fld id="{646B1077-A2AF-1C49-9001-4F50E5D54D49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$363,047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16</xdr:col>
      <xdr:colOff>19538</xdr:colOff>
      <xdr:row>19</xdr:row>
      <xdr:rowOff>15632</xdr:rowOff>
    </xdr:from>
    <xdr:to>
      <xdr:col>20</xdr:col>
      <xdr:colOff>8127</xdr:colOff>
      <xdr:row>25</xdr:row>
      <xdr:rowOff>9536</xdr:rowOff>
    </xdr:to>
    <xdr:sp macro="" textlink="APR_TAEG">
      <xdr:nvSpPr>
        <xdr:cNvPr id="4" name="Rounded Rectangle 3">
          <a:extLst>
            <a:ext uri="{FF2B5EF4-FFF2-40B4-BE49-F238E27FC236}">
              <a16:creationId xmlns:a16="http://schemas.microsoft.com/office/drawing/2014/main" id="{574A84E5-AB33-774D-A49A-9793C4AA9A44}"/>
            </a:ext>
          </a:extLst>
        </xdr:cNvPr>
        <xdr:cNvSpPr/>
      </xdr:nvSpPr>
      <xdr:spPr>
        <a:xfrm>
          <a:off x="11156461" y="4822094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APR/TAEG</a:t>
          </a:r>
          <a:br>
            <a:rPr lang="en-US" sz="1200" b="0" i="0" u="none" strike="noStrike">
              <a:solidFill>
                <a:srgbClr val="000000"/>
              </a:solidFill>
              <a:latin typeface="Aptos-Narrow"/>
            </a:rPr>
          </a:br>
          <a:fld id="{92C5B71B-8C77-B84F-91FB-4C938FA82CE5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3.38%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16</xdr:col>
      <xdr:colOff>5863</xdr:colOff>
      <xdr:row>26</xdr:row>
      <xdr:rowOff>11730</xdr:rowOff>
    </xdr:from>
    <xdr:to>
      <xdr:col>19</xdr:col>
      <xdr:colOff>824837</xdr:colOff>
      <xdr:row>32</xdr:row>
      <xdr:rowOff>5634</xdr:rowOff>
    </xdr:to>
    <xdr:sp macro="" textlink="NPV">
      <xdr:nvSpPr>
        <xdr:cNvPr id="14" name="Rounded Rectangle 13">
          <a:extLst>
            <a:ext uri="{FF2B5EF4-FFF2-40B4-BE49-F238E27FC236}">
              <a16:creationId xmlns:a16="http://schemas.microsoft.com/office/drawing/2014/main" id="{CDCFD0B2-8B9F-664D-BAE8-92337ABE0920}"/>
            </a:ext>
          </a:extLst>
        </xdr:cNvPr>
        <xdr:cNvSpPr/>
      </xdr:nvSpPr>
      <xdr:spPr>
        <a:xfrm>
          <a:off x="11142786" y="6596192"/>
          <a:ext cx="3310128" cy="151790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i="0" u="none" strike="noStrike">
              <a:solidFill>
                <a:schemeClr val="accent2"/>
              </a:solidFill>
              <a:latin typeface="Aptos-Narrow"/>
            </a:rPr>
            <a:t>NPV</a:t>
          </a:r>
          <a:br>
            <a:rPr lang="en-US" sz="1200" b="0" i="0" u="none" strike="noStrike">
              <a:solidFill>
                <a:srgbClr val="000000"/>
              </a:solidFill>
              <a:latin typeface="Aptos-Narrow"/>
            </a:rPr>
          </a:br>
          <a:fld id="{61FF0AAD-10C0-9148-92E1-43083236D38E}" type="TxLink">
            <a:rPr lang="en-US" sz="3200" b="1" i="0" u="none" strike="noStrike">
              <a:solidFill>
                <a:srgbClr val="002060"/>
              </a:solidFill>
              <a:latin typeface="Aptos-Narrow"/>
            </a:rPr>
            <a:pPr algn="ctr"/>
            <a:t> $55,554 </a:t>
          </a:fld>
          <a:endParaRPr lang="en-US" sz="3200" b="1">
            <a:solidFill>
              <a:srgbClr val="00206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F2EEFB-7F20-794E-9A89-D044BAC14DB2}" name="amort_table_1" displayName="amort_table_1" ref="B7:J307" totalsRowShown="0" headerRowDxfId="13" dataDxfId="12" dataCellStyle="Currency">
  <autoFilter ref="B7:J307" xr:uid="{09F2EEFB-7F20-794E-9A89-D044BAC14D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0DB9884-234A-F64D-8574-DC63A15D90E8}" name="EMI #" dataDxfId="11">
      <calculatedColumnFormula array="1">IF(ROW()-ROW($B$7)&lt;=duration,ROW()-ROW($B$7),"")</calculatedColumnFormula>
    </tableColumn>
    <tableColumn id="2" xr3:uid="{CC1C898F-F706-C442-A4F3-70DCEFD933F8}" name="Due date" dataDxfId="10">
      <calculatedColumnFormula>IF(B8="","",EOMONTH(C7,0)+1)</calculatedColumnFormula>
    </tableColumn>
    <tableColumn id="4" xr3:uid="{3AA79D91-832C-4841-AB3F-9306561D23BA}" name="Principle" dataDxfId="9" dataCellStyle="Currency">
      <calculatedColumnFormula>IF(B8="","",F8-E8)</calculatedColumnFormula>
    </tableColumn>
    <tableColumn id="5" xr3:uid="{133D231C-ECC8-E940-A31E-95068A031469}" name="Interest" dataDxfId="8" dataCellStyle="Currency">
      <calculatedColumnFormula>IF(B8="","",IPMT(_xlfn.SINGLE(loanInterestRate)/12,B8,duration,-_xlfn.SINGLE(principle)))</calculatedColumnFormula>
    </tableColumn>
    <tableColumn id="3" xr3:uid="{D6C962B6-2903-EB46-B930-8CCD600583FB}" name="EMI" dataDxfId="7" dataCellStyle="Currency">
      <calculatedColumnFormula>IF(B8="", "", EMI)</calculatedColumnFormula>
    </tableColumn>
    <tableColumn id="6" xr3:uid="{AA5238F4-E5C4-9647-82A0-09B6759EBDB3}" name="Insurance" dataDxfId="6" dataCellStyle="Currency">
      <calculatedColumnFormula>IF(B8="","",insurancePerMonth)</calculatedColumnFormula>
    </tableColumn>
    <tableColumn id="7" xr3:uid="{B9CCAA7D-FF47-8442-9FE0-E0A8159C9A71}" name="Total EMI" dataDxfId="5">
      <calculatedColumnFormula>IF(B8="","",F8+G8)</calculatedColumnFormula>
    </tableColumn>
    <tableColumn id="8" xr3:uid="{A59AD153-EEC8-6E48-84B9-0395648EBD9D}" name="Status" dataDxfId="4">
      <calculatedColumnFormula>IF(B8="","","Unpaid")</calculatedColumnFormula>
    </tableColumn>
    <tableColumn id="9" xr3:uid="{6F4D7C4F-859F-CF4A-878D-4DC623EBF2BD}" name="Rem. Principle" dataDxfId="3" dataCellStyle="Currency">
      <calculatedColumnFormula>_xlfn.SINGLE(IF(B8="","",IF(I8="Unpaid",principle,_xlfn.SINGLE(principle)-D8)))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A893-C611-E446-B793-C9930C6B2337}">
  <dimension ref="A1:AT46"/>
  <sheetViews>
    <sheetView showGridLines="0" zoomScale="130" zoomScaleNormal="130" workbookViewId="0">
      <selection activeCell="T12" sqref="T12"/>
    </sheetView>
  </sheetViews>
  <sheetFormatPr defaultColWidth="0" defaultRowHeight="15"/>
  <cols>
    <col min="1" max="1" width="3.81640625" customWidth="1"/>
    <col min="2" max="5" width="10.81640625" customWidth="1"/>
    <col min="6" max="6" width="3.81640625" customWidth="1"/>
    <col min="7" max="10" width="10.81640625" customWidth="1"/>
    <col min="11" max="11" width="3.81640625" customWidth="1"/>
    <col min="12" max="15" width="10.81640625" customWidth="1"/>
    <col min="16" max="16" width="3.81640625" customWidth="1"/>
    <col min="17" max="20" width="10.81640625" customWidth="1"/>
    <col min="21" max="21" width="3.81640625" customWidth="1"/>
    <col min="22" max="46" width="3.81640625" hidden="1" customWidth="1"/>
    <col min="47" max="16384" width="10.81640625" hidden="1"/>
  </cols>
  <sheetData>
    <row r="1" spans="2:4" s="12" customFormat="1">
      <c r="D1" s="13"/>
    </row>
    <row r="2" spans="2:4" s="12" customFormat="1" ht="24.6">
      <c r="B2" s="14" t="s">
        <v>41</v>
      </c>
      <c r="D2" s="13"/>
    </row>
    <row r="3" spans="2:4" s="12" customFormat="1" ht="17.399999999999999">
      <c r="B3" s="30" t="s">
        <v>40</v>
      </c>
      <c r="D3" s="13"/>
    </row>
    <row r="4" spans="2:4" s="12" customFormat="1">
      <c r="D4" s="13"/>
    </row>
    <row r="5" spans="2:4" ht="19.95" customHeight="1"/>
    <row r="6" spans="2:4" ht="19.95" customHeight="1"/>
    <row r="7" spans="2:4" ht="19.95" customHeight="1"/>
    <row r="8" spans="2:4" ht="19.95" customHeight="1"/>
    <row r="9" spans="2:4" ht="19.95" customHeight="1"/>
    <row r="10" spans="2:4" ht="19.95" customHeight="1"/>
    <row r="11" spans="2:4" ht="19.95" customHeight="1"/>
    <row r="12" spans="2:4" ht="19.95" customHeight="1"/>
    <row r="13" spans="2:4" ht="19.95" customHeight="1"/>
    <row r="14" spans="2:4" ht="19.95" customHeight="1"/>
    <row r="15" spans="2:4" ht="19.95" customHeight="1"/>
    <row r="16" spans="2:4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9481-AC4B-6A48-85C4-C97A8305FE8A}">
  <dimension ref="A1:AO16"/>
  <sheetViews>
    <sheetView showGridLines="0" zoomScale="130" zoomScaleNormal="130" workbookViewId="0">
      <selection activeCell="I26" sqref="I26"/>
    </sheetView>
  </sheetViews>
  <sheetFormatPr defaultColWidth="0" defaultRowHeight="15"/>
  <cols>
    <col min="1" max="1" width="3.81640625" customWidth="1"/>
    <col min="2" max="8" width="10.81640625" customWidth="1"/>
    <col min="9" max="9" width="3.81640625" customWidth="1"/>
    <col min="10" max="15" width="10.81640625" hidden="1" customWidth="1"/>
    <col min="16" max="41" width="3.81640625" hidden="1" customWidth="1"/>
    <col min="42" max="16384" width="10.81640625" hidden="1"/>
  </cols>
  <sheetData>
    <row r="1" spans="2:8" s="12" customFormat="1">
      <c r="F1" s="13"/>
      <c r="G1" s="13"/>
      <c r="H1" s="13"/>
    </row>
    <row r="2" spans="2:8" s="12" customFormat="1" ht="24.6">
      <c r="B2" s="14" t="str">
        <f>projectName</f>
        <v>Loan Amortization Analysis &amp; Tracker</v>
      </c>
      <c r="F2" s="13"/>
      <c r="G2" s="13"/>
      <c r="H2" s="13"/>
    </row>
    <row r="3" spans="2:8" s="12" customFormat="1" ht="17.399999999999999">
      <c r="B3" s="30" t="s">
        <v>43</v>
      </c>
      <c r="F3" s="13"/>
      <c r="G3" s="13"/>
      <c r="H3" s="13"/>
    </row>
    <row r="4" spans="2:8" s="12" customFormat="1">
      <c r="F4" s="13"/>
      <c r="G4" s="13"/>
      <c r="H4" s="13"/>
    </row>
    <row r="6" spans="2:8">
      <c r="B6" s="2" t="s">
        <v>23</v>
      </c>
      <c r="C6" s="2"/>
      <c r="D6" s="2"/>
      <c r="E6" s="2"/>
      <c r="F6" s="2"/>
    </row>
    <row r="7" spans="2:8">
      <c r="B7" s="20" t="s">
        <v>34</v>
      </c>
      <c r="D7" s="19"/>
      <c r="G7" s="23"/>
      <c r="H7" s="23"/>
    </row>
    <row r="8" spans="2:8">
      <c r="B8" s="20"/>
    </row>
    <row r="9" spans="2:8">
      <c r="B9" t="s">
        <v>1</v>
      </c>
      <c r="G9" s="7">
        <v>250000</v>
      </c>
      <c r="H9" s="1"/>
    </row>
    <row r="10" spans="2:8">
      <c r="B10" t="s">
        <v>44</v>
      </c>
      <c r="G10" s="36">
        <v>3500</v>
      </c>
      <c r="H10" s="1"/>
    </row>
    <row r="11" spans="2:8">
      <c r="B11" t="s">
        <v>0</v>
      </c>
      <c r="G11" s="11">
        <v>300</v>
      </c>
      <c r="H11" s="1" t="s">
        <v>5</v>
      </c>
    </row>
    <row r="12" spans="2:8">
      <c r="B12" t="s">
        <v>2</v>
      </c>
      <c r="G12" s="8">
        <v>2.75E-2</v>
      </c>
      <c r="H12" s="1" t="s">
        <v>4</v>
      </c>
    </row>
    <row r="13" spans="2:8">
      <c r="B13" t="s">
        <v>39</v>
      </c>
      <c r="G13" s="8">
        <v>0.06</v>
      </c>
      <c r="H13" s="1" t="s">
        <v>4</v>
      </c>
    </row>
    <row r="14" spans="2:8">
      <c r="B14" t="s">
        <v>3</v>
      </c>
      <c r="G14" s="9">
        <v>56.88</v>
      </c>
      <c r="H14" s="1"/>
    </row>
    <row r="15" spans="2:8">
      <c r="B15" t="s">
        <v>35</v>
      </c>
      <c r="G15" s="26">
        <v>45550</v>
      </c>
      <c r="H15" s="1"/>
    </row>
    <row r="16" spans="2:8">
      <c r="B16" t="s">
        <v>7</v>
      </c>
      <c r="G16" s="10">
        <v>45570</v>
      </c>
      <c r="H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B1E6-A387-FC49-A0D8-311CD2898962}">
  <dimension ref="A1:U545"/>
  <sheetViews>
    <sheetView showGridLines="0" zoomScale="130" zoomScaleNormal="130" workbookViewId="0">
      <selection activeCell="I20" sqref="I20"/>
    </sheetView>
  </sheetViews>
  <sheetFormatPr defaultColWidth="0" defaultRowHeight="15"/>
  <cols>
    <col min="1" max="1" width="3.81640625" customWidth="1"/>
    <col min="2" max="2" width="10.81640625" customWidth="1"/>
    <col min="3" max="3" width="11" customWidth="1"/>
    <col min="4" max="4" width="10.81640625" customWidth="1"/>
    <col min="5" max="5" width="14.453125" bestFit="1" customWidth="1"/>
    <col min="6" max="6" width="11.36328125" style="1" customWidth="1"/>
    <col min="7" max="7" width="13.36328125" customWidth="1"/>
    <col min="8" max="8" width="11.36328125" customWidth="1"/>
    <col min="9" max="9" width="10.81640625" customWidth="1"/>
    <col min="10" max="10" width="17.453125" style="1" customWidth="1"/>
    <col min="11" max="11" width="3.81640625" customWidth="1"/>
    <col min="12" max="21" width="0" hidden="1" customWidth="1"/>
    <col min="22" max="16384" width="10.81640625" hidden="1"/>
  </cols>
  <sheetData>
    <row r="1" spans="2:10" s="12" customFormat="1">
      <c r="F1" s="13"/>
      <c r="J1" s="13"/>
    </row>
    <row r="2" spans="2:10" s="12" customFormat="1" ht="24.6">
      <c r="B2" s="14" t="str" cm="1">
        <f t="array" ref="B2">projectName</f>
        <v>Loan Amortization Analysis &amp; Tracker</v>
      </c>
      <c r="F2" s="13"/>
      <c r="J2" s="13"/>
    </row>
    <row r="3" spans="2:10" s="12" customFormat="1" ht="17.399999999999999">
      <c r="B3" s="30" t="s">
        <v>40</v>
      </c>
      <c r="F3" s="13"/>
      <c r="J3" s="13"/>
    </row>
    <row r="4" spans="2:10" s="12" customFormat="1">
      <c r="F4" s="13"/>
      <c r="J4" s="13"/>
    </row>
    <row r="7" spans="2:10" ht="15.6">
      <c r="B7" s="15" t="s">
        <v>6</v>
      </c>
      <c r="C7" s="15" t="s">
        <v>8</v>
      </c>
      <c r="D7" s="15" t="s">
        <v>10</v>
      </c>
      <c r="E7" s="16" t="s">
        <v>11</v>
      </c>
      <c r="F7" s="15" t="s">
        <v>12</v>
      </c>
      <c r="G7" s="16" t="s">
        <v>13</v>
      </c>
      <c r="H7" s="15" t="s">
        <v>9</v>
      </c>
      <c r="I7" s="15" t="s">
        <v>15</v>
      </c>
      <c r="J7" s="16" t="s">
        <v>14</v>
      </c>
    </row>
    <row r="8" spans="2:10">
      <c r="B8" s="3" cm="1">
        <f t="array" ref="B8">IF(ROW()-ROW($B$7)&lt;=duration,ROW()-ROW($B$7),"")</f>
        <v>1</v>
      </c>
      <c r="C8" s="4" cm="1">
        <f t="array" ref="C8">startDate</f>
        <v>45570</v>
      </c>
      <c r="D8" s="6">
        <f>IF(B8="","",F8-E8)</f>
        <v>580.36047143960889</v>
      </c>
      <c r="E8" s="6">
        <f t="shared" ref="E8:E71" si="0">IF(B8="","",IPMT(_xlfn.SINGLE(loanInterestRate)/12,B8,duration,-_xlfn.SINGLE(principle)))</f>
        <v>572.91666666666663</v>
      </c>
      <c r="F8" s="5">
        <f t="shared" ref="F8:F71" si="1">IF(B8="", "", EMI)</f>
        <v>1153.2771381062755</v>
      </c>
      <c r="G8" s="6">
        <f t="shared" ref="G8:G71" si="2">IF(B8="","",insurancePerMonth)</f>
        <v>56.88</v>
      </c>
      <c r="H8" s="5">
        <f>IF(B8="","",F8+G8)</f>
        <v>1210.1571381062756</v>
      </c>
      <c r="I8" s="3" t="s">
        <v>16</v>
      </c>
      <c r="J8" s="6">
        <f>_xlfn.SINGLE(IF(B8="","",IF(I8="Unpaid",principle,_xlfn.SINGLE(principle)-D8)))</f>
        <v>249419.63952856039</v>
      </c>
    </row>
    <row r="9" spans="2:10">
      <c r="B9" s="3" cm="1">
        <f t="array" ref="B9">IF(ROW()-ROW($B$7)&lt;=duration,ROW()-ROW($B$7),"")</f>
        <v>2</v>
      </c>
      <c r="C9" s="4">
        <f>IF(B9="","",EOMONTH(C8,0)+5)</f>
        <v>45601</v>
      </c>
      <c r="D9" s="6">
        <f t="shared" ref="D9:D71" si="3">IF(B9="","",F9-E9)</f>
        <v>581.69046418665789</v>
      </c>
      <c r="E9" s="6">
        <f t="shared" si="0"/>
        <v>571.58667391961762</v>
      </c>
      <c r="F9" s="5">
        <f t="shared" si="1"/>
        <v>1153.2771381062755</v>
      </c>
      <c r="G9" s="6">
        <f t="shared" si="2"/>
        <v>56.88</v>
      </c>
      <c r="H9" s="5">
        <f t="shared" ref="H9:H71" si="4">IF(B9="","",F9+G9)</f>
        <v>1210.1571381062756</v>
      </c>
      <c r="I9" s="3" t="s">
        <v>16</v>
      </c>
      <c r="J9" s="6">
        <f>IF(B9="","",IF(I9="Unpaid",J8,J8-D9))</f>
        <v>248837.94906437374</v>
      </c>
    </row>
    <row r="10" spans="2:10">
      <c r="B10" s="3" cm="1">
        <f t="array" ref="B10">IF(ROW()-ROW($B$7)&lt;=duration,ROW()-ROW($B$7),"")</f>
        <v>3</v>
      </c>
      <c r="C10" s="4">
        <f t="shared" ref="C10:C73" si="5">IF(B10="","",EOMONTH(C9,0)+5)</f>
        <v>45631</v>
      </c>
      <c r="D10" s="6">
        <f t="shared" si="3"/>
        <v>583.02350483375233</v>
      </c>
      <c r="E10" s="6">
        <f t="shared" si="0"/>
        <v>570.25363327252319</v>
      </c>
      <c r="F10" s="5">
        <f t="shared" si="1"/>
        <v>1153.2771381062755</v>
      </c>
      <c r="G10" s="6">
        <f t="shared" si="2"/>
        <v>56.88</v>
      </c>
      <c r="H10" s="5">
        <f t="shared" si="4"/>
        <v>1210.1571381062756</v>
      </c>
      <c r="I10" s="3" t="s">
        <v>16</v>
      </c>
      <c r="J10" s="6">
        <f t="shared" ref="J10:J73" si="6">IF(B10="","",IF(I10="Unpaid",J9,J9-D10))</f>
        <v>248254.92555953999</v>
      </c>
    </row>
    <row r="11" spans="2:10">
      <c r="B11" s="3" cm="1">
        <f t="array" ref="B11">IF(ROW()-ROW($B$7)&lt;=duration,ROW()-ROW($B$7),"")</f>
        <v>4</v>
      </c>
      <c r="C11" s="4">
        <f t="shared" si="5"/>
        <v>45662</v>
      </c>
      <c r="D11" s="6">
        <f t="shared" si="3"/>
        <v>584.35960036566325</v>
      </c>
      <c r="E11" s="6">
        <f t="shared" si="0"/>
        <v>568.91753774061226</v>
      </c>
      <c r="F11" s="5">
        <f t="shared" si="1"/>
        <v>1153.2771381062755</v>
      </c>
      <c r="G11" s="6">
        <f t="shared" si="2"/>
        <v>56.88</v>
      </c>
      <c r="H11" s="5">
        <f t="shared" si="4"/>
        <v>1210.1571381062756</v>
      </c>
      <c r="I11" s="3" t="s">
        <v>16</v>
      </c>
      <c r="J11" s="6">
        <f t="shared" si="6"/>
        <v>247670.56595917433</v>
      </c>
    </row>
    <row r="12" spans="2:10">
      <c r="B12" s="3" cm="1">
        <f t="array" ref="B12">IF(ROW()-ROW($B$7)&lt;=duration,ROW()-ROW($B$7),"")</f>
        <v>5</v>
      </c>
      <c r="C12" s="4">
        <f t="shared" si="5"/>
        <v>45693</v>
      </c>
      <c r="D12" s="6">
        <f t="shared" si="3"/>
        <v>585.69875778316771</v>
      </c>
      <c r="E12" s="6">
        <f t="shared" si="0"/>
        <v>567.57838032310781</v>
      </c>
      <c r="F12" s="5">
        <f t="shared" si="1"/>
        <v>1153.2771381062755</v>
      </c>
      <c r="G12" s="6">
        <f t="shared" si="2"/>
        <v>56.88</v>
      </c>
      <c r="H12" s="5">
        <f t="shared" si="4"/>
        <v>1210.1571381062756</v>
      </c>
      <c r="I12" s="3" t="s">
        <v>16</v>
      </c>
      <c r="J12" s="6">
        <f t="shared" si="6"/>
        <v>247084.86720139117</v>
      </c>
    </row>
    <row r="13" spans="2:10">
      <c r="B13" s="3" cm="1">
        <f t="array" ref="B13">IF(ROW()-ROW($B$7)&lt;=duration,ROW()-ROW($B$7),"")</f>
        <v>6</v>
      </c>
      <c r="C13" s="4">
        <f t="shared" si="5"/>
        <v>45721</v>
      </c>
      <c r="D13" s="6">
        <f t="shared" si="3"/>
        <v>587.04098410308745</v>
      </c>
      <c r="E13" s="6">
        <f t="shared" si="0"/>
        <v>566.23615400318806</v>
      </c>
      <c r="F13" s="5">
        <f t="shared" si="1"/>
        <v>1153.2771381062755</v>
      </c>
      <c r="G13" s="6">
        <f t="shared" si="2"/>
        <v>56.88</v>
      </c>
      <c r="H13" s="5">
        <f t="shared" si="4"/>
        <v>1210.1571381062756</v>
      </c>
      <c r="I13" s="3" t="s">
        <v>16</v>
      </c>
      <c r="J13" s="6">
        <f t="shared" si="6"/>
        <v>246497.82621728809</v>
      </c>
    </row>
    <row r="14" spans="2:10">
      <c r="B14" s="3" cm="1">
        <f t="array" ref="B14">IF(ROW()-ROW($B$7)&lt;=duration,ROW()-ROW($B$7),"")</f>
        <v>7</v>
      </c>
      <c r="C14" s="4">
        <f t="shared" si="5"/>
        <v>45752</v>
      </c>
      <c r="D14" s="6">
        <f t="shared" si="3"/>
        <v>588.38628635832367</v>
      </c>
      <c r="E14" s="6">
        <f t="shared" si="0"/>
        <v>564.89085174795184</v>
      </c>
      <c r="F14" s="5">
        <f t="shared" si="1"/>
        <v>1153.2771381062755</v>
      </c>
      <c r="G14" s="6">
        <f t="shared" si="2"/>
        <v>56.88</v>
      </c>
      <c r="H14" s="5">
        <f t="shared" si="4"/>
        <v>1210.1571381062756</v>
      </c>
      <c r="I14" s="3" t="s">
        <v>16</v>
      </c>
      <c r="J14" s="6">
        <f t="shared" si="6"/>
        <v>245909.43993092977</v>
      </c>
    </row>
    <row r="15" spans="2:10">
      <c r="B15" s="3" cm="1">
        <f t="array" ref="B15">IF(ROW()-ROW($B$7)&lt;=duration,ROW()-ROW($B$7),"")</f>
        <v>8</v>
      </c>
      <c r="C15" s="4">
        <f t="shared" si="5"/>
        <v>45782</v>
      </c>
      <c r="D15" s="6">
        <f t="shared" si="3"/>
        <v>589.73467159789482</v>
      </c>
      <c r="E15" s="6">
        <f t="shared" si="0"/>
        <v>563.5424665083807</v>
      </c>
      <c r="F15" s="5">
        <f t="shared" si="1"/>
        <v>1153.2771381062755</v>
      </c>
      <c r="G15" s="6">
        <f t="shared" si="2"/>
        <v>56.88</v>
      </c>
      <c r="H15" s="5">
        <f t="shared" si="4"/>
        <v>1210.1571381062756</v>
      </c>
      <c r="I15" s="3" t="s">
        <v>16</v>
      </c>
      <c r="J15" s="6">
        <f t="shared" si="6"/>
        <v>245319.70525933188</v>
      </c>
    </row>
    <row r="16" spans="2:10">
      <c r="B16" s="3" cm="1">
        <f t="array" ref="B16">IF(ROW()-ROW($B$7)&lt;=duration,ROW()-ROW($B$7),"")</f>
        <v>9</v>
      </c>
      <c r="C16" s="4">
        <f t="shared" si="5"/>
        <v>45813</v>
      </c>
      <c r="D16" s="6">
        <f t="shared" si="3"/>
        <v>591.08614688697344</v>
      </c>
      <c r="E16" s="6">
        <f t="shared" si="0"/>
        <v>562.19099121930208</v>
      </c>
      <c r="F16" s="5">
        <f t="shared" si="1"/>
        <v>1153.2771381062755</v>
      </c>
      <c r="G16" s="6">
        <f t="shared" si="2"/>
        <v>56.88</v>
      </c>
      <c r="H16" s="5">
        <f t="shared" si="4"/>
        <v>1210.1571381062756</v>
      </c>
      <c r="I16" s="3" t="s">
        <v>16</v>
      </c>
      <c r="J16" s="6">
        <f t="shared" si="6"/>
        <v>244728.6191124449</v>
      </c>
    </row>
    <row r="17" spans="2:10">
      <c r="B17" s="3" cm="1">
        <f t="array" ref="B17">IF(ROW()-ROW($B$7)&lt;=duration,ROW()-ROW($B$7),"")</f>
        <v>10</v>
      </c>
      <c r="C17" s="4">
        <f t="shared" si="5"/>
        <v>45843</v>
      </c>
      <c r="D17" s="6">
        <f t="shared" si="3"/>
        <v>592.44071930692257</v>
      </c>
      <c r="E17" s="6">
        <f t="shared" si="0"/>
        <v>560.83641879935294</v>
      </c>
      <c r="F17" s="5">
        <f t="shared" si="1"/>
        <v>1153.2771381062755</v>
      </c>
      <c r="G17" s="6">
        <f t="shared" si="2"/>
        <v>56.88</v>
      </c>
      <c r="H17" s="5">
        <f t="shared" si="4"/>
        <v>1210.1571381062756</v>
      </c>
      <c r="I17" s="3" t="s">
        <v>16</v>
      </c>
      <c r="J17" s="6">
        <f t="shared" si="6"/>
        <v>244136.17839313796</v>
      </c>
    </row>
    <row r="18" spans="2:10">
      <c r="B18" s="3" cm="1">
        <f t="array" ref="B18">IF(ROW()-ROW($B$7)&lt;=duration,ROW()-ROW($B$7),"")</f>
        <v>11</v>
      </c>
      <c r="C18" s="4">
        <f t="shared" si="5"/>
        <v>45874</v>
      </c>
      <c r="D18" s="6">
        <f t="shared" si="3"/>
        <v>593.7983959553344</v>
      </c>
      <c r="E18" s="6">
        <f t="shared" si="0"/>
        <v>559.47874215094112</v>
      </c>
      <c r="F18" s="5">
        <f t="shared" si="1"/>
        <v>1153.2771381062755</v>
      </c>
      <c r="G18" s="6">
        <f t="shared" si="2"/>
        <v>56.88</v>
      </c>
      <c r="H18" s="5">
        <f t="shared" si="4"/>
        <v>1210.1571381062756</v>
      </c>
      <c r="I18" s="3" t="str">
        <f t="shared" ref="I18:I73" si="7">IF(B18="","","Unpaid")</f>
        <v>Unpaid</v>
      </c>
      <c r="J18" s="6">
        <f t="shared" si="6"/>
        <v>244136.17839313796</v>
      </c>
    </row>
    <row r="19" spans="2:10">
      <c r="B19" s="3" cm="1">
        <f t="array" ref="B19">IF(ROW()-ROW($B$7)&lt;=duration,ROW()-ROW($B$7),"")</f>
        <v>12</v>
      </c>
      <c r="C19" s="4">
        <f t="shared" si="5"/>
        <v>45905</v>
      </c>
      <c r="D19" s="6">
        <f t="shared" si="3"/>
        <v>595.15918394606547</v>
      </c>
      <c r="E19" s="6">
        <f t="shared" si="0"/>
        <v>558.11795416021005</v>
      </c>
      <c r="F19" s="5">
        <f t="shared" si="1"/>
        <v>1153.2771381062755</v>
      </c>
      <c r="G19" s="6">
        <f t="shared" si="2"/>
        <v>56.88</v>
      </c>
      <c r="H19" s="5">
        <f t="shared" si="4"/>
        <v>1210.1571381062756</v>
      </c>
      <c r="I19" s="3" t="str">
        <f t="shared" si="7"/>
        <v>Unpaid</v>
      </c>
      <c r="J19" s="6">
        <f t="shared" si="6"/>
        <v>244136.17839313796</v>
      </c>
    </row>
    <row r="20" spans="2:10">
      <c r="B20" s="3" cm="1">
        <f t="array" ref="B20">IF(ROW()-ROW($B$7)&lt;=duration,ROW()-ROW($B$7),"")</f>
        <v>13</v>
      </c>
      <c r="C20" s="4">
        <f t="shared" si="5"/>
        <v>45935</v>
      </c>
      <c r="D20" s="6">
        <f t="shared" si="3"/>
        <v>596.52309040927514</v>
      </c>
      <c r="E20" s="6">
        <f t="shared" si="0"/>
        <v>556.75404769700037</v>
      </c>
      <c r="F20" s="5">
        <f t="shared" si="1"/>
        <v>1153.2771381062755</v>
      </c>
      <c r="G20" s="6">
        <f t="shared" si="2"/>
        <v>56.88</v>
      </c>
      <c r="H20" s="5">
        <f t="shared" si="4"/>
        <v>1210.1571381062756</v>
      </c>
      <c r="I20" s="3" t="str">
        <f t="shared" si="7"/>
        <v>Unpaid</v>
      </c>
      <c r="J20" s="6">
        <f t="shared" si="6"/>
        <v>244136.17839313796</v>
      </c>
    </row>
    <row r="21" spans="2:10">
      <c r="B21" s="3" cm="1">
        <f t="array" ref="B21">IF(ROW()-ROW($B$7)&lt;=duration,ROW()-ROW($B$7),"")</f>
        <v>14</v>
      </c>
      <c r="C21" s="4">
        <f t="shared" si="5"/>
        <v>45966</v>
      </c>
      <c r="D21" s="6">
        <f t="shared" si="3"/>
        <v>597.89012249146299</v>
      </c>
      <c r="E21" s="6">
        <f t="shared" si="0"/>
        <v>555.38701561481253</v>
      </c>
      <c r="F21" s="5">
        <f t="shared" si="1"/>
        <v>1153.2771381062755</v>
      </c>
      <c r="G21" s="6">
        <f t="shared" si="2"/>
        <v>56.88</v>
      </c>
      <c r="H21" s="5">
        <f t="shared" si="4"/>
        <v>1210.1571381062756</v>
      </c>
      <c r="I21" s="3" t="str">
        <f t="shared" si="7"/>
        <v>Unpaid</v>
      </c>
      <c r="J21" s="6">
        <f t="shared" si="6"/>
        <v>244136.17839313796</v>
      </c>
    </row>
    <row r="22" spans="2:10">
      <c r="B22" s="3" cm="1">
        <f t="array" ref="B22">IF(ROW()-ROW($B$7)&lt;=duration,ROW()-ROW($B$7),"")</f>
        <v>15</v>
      </c>
      <c r="C22" s="4">
        <f t="shared" si="5"/>
        <v>45996</v>
      </c>
      <c r="D22" s="6">
        <f t="shared" si="3"/>
        <v>599.26028735550608</v>
      </c>
      <c r="E22" s="6">
        <f t="shared" si="0"/>
        <v>554.01685075076944</v>
      </c>
      <c r="F22" s="5">
        <f t="shared" si="1"/>
        <v>1153.2771381062755</v>
      </c>
      <c r="G22" s="6">
        <f t="shared" si="2"/>
        <v>56.88</v>
      </c>
      <c r="H22" s="5">
        <f t="shared" si="4"/>
        <v>1210.1571381062756</v>
      </c>
      <c r="I22" s="3" t="str">
        <f t="shared" si="7"/>
        <v>Unpaid</v>
      </c>
      <c r="J22" s="6">
        <f t="shared" si="6"/>
        <v>244136.17839313796</v>
      </c>
    </row>
    <row r="23" spans="2:10">
      <c r="B23" s="3" cm="1">
        <f t="array" ref="B23">IF(ROW()-ROW($B$7)&lt;=duration,ROW()-ROW($B$7),"")</f>
        <v>16</v>
      </c>
      <c r="C23" s="4">
        <f t="shared" si="5"/>
        <v>46027</v>
      </c>
      <c r="D23" s="6">
        <f t="shared" si="3"/>
        <v>600.6335921806957</v>
      </c>
      <c r="E23" s="6">
        <f t="shared" si="0"/>
        <v>552.64354592557982</v>
      </c>
      <c r="F23" s="5">
        <f t="shared" si="1"/>
        <v>1153.2771381062755</v>
      </c>
      <c r="G23" s="6">
        <f t="shared" si="2"/>
        <v>56.88</v>
      </c>
      <c r="H23" s="5">
        <f t="shared" si="4"/>
        <v>1210.1571381062756</v>
      </c>
      <c r="I23" s="3" t="str">
        <f t="shared" si="7"/>
        <v>Unpaid</v>
      </c>
      <c r="J23" s="6">
        <f t="shared" si="6"/>
        <v>244136.17839313796</v>
      </c>
    </row>
    <row r="24" spans="2:10">
      <c r="B24" s="3" cm="1">
        <f t="array" ref="B24">IF(ROW()-ROW($B$7)&lt;=duration,ROW()-ROW($B$7),"")</f>
        <v>17</v>
      </c>
      <c r="C24" s="4">
        <f t="shared" si="5"/>
        <v>46058</v>
      </c>
      <c r="D24" s="6">
        <f t="shared" si="3"/>
        <v>602.01004416277647</v>
      </c>
      <c r="E24" s="6">
        <f t="shared" si="0"/>
        <v>551.26709394349905</v>
      </c>
      <c r="F24" s="5">
        <f t="shared" si="1"/>
        <v>1153.2771381062755</v>
      </c>
      <c r="G24" s="6">
        <f t="shared" si="2"/>
        <v>56.88</v>
      </c>
      <c r="H24" s="5">
        <f t="shared" si="4"/>
        <v>1210.1571381062756</v>
      </c>
      <c r="I24" s="3" t="str">
        <f t="shared" si="7"/>
        <v>Unpaid</v>
      </c>
      <c r="J24" s="6">
        <f t="shared" si="6"/>
        <v>244136.17839313796</v>
      </c>
    </row>
    <row r="25" spans="2:10">
      <c r="B25" s="3" cm="1">
        <f t="array" ref="B25">IF(ROW()-ROW($B$7)&lt;=duration,ROW()-ROW($B$7),"")</f>
        <v>18</v>
      </c>
      <c r="C25" s="4">
        <f t="shared" si="5"/>
        <v>46086</v>
      </c>
      <c r="D25" s="6">
        <f t="shared" si="3"/>
        <v>603.38965051398282</v>
      </c>
      <c r="E25" s="6">
        <f t="shared" si="0"/>
        <v>549.8874875922927</v>
      </c>
      <c r="F25" s="5">
        <f t="shared" si="1"/>
        <v>1153.2771381062755</v>
      </c>
      <c r="G25" s="6">
        <f t="shared" si="2"/>
        <v>56.88</v>
      </c>
      <c r="H25" s="5">
        <f t="shared" si="4"/>
        <v>1210.1571381062756</v>
      </c>
      <c r="I25" s="3" t="str">
        <f t="shared" si="7"/>
        <v>Unpaid</v>
      </c>
      <c r="J25" s="6">
        <f t="shared" si="6"/>
        <v>244136.17839313796</v>
      </c>
    </row>
    <row r="26" spans="2:10">
      <c r="B26" s="3" cm="1">
        <f t="array" ref="B26">IF(ROW()-ROW($B$7)&lt;=duration,ROW()-ROW($B$7),"")</f>
        <v>19</v>
      </c>
      <c r="C26" s="4">
        <f t="shared" si="5"/>
        <v>46117</v>
      </c>
      <c r="D26" s="6">
        <f t="shared" si="3"/>
        <v>604.77241846307732</v>
      </c>
      <c r="E26" s="6">
        <f t="shared" si="0"/>
        <v>548.5047196431982</v>
      </c>
      <c r="F26" s="5">
        <f t="shared" si="1"/>
        <v>1153.2771381062755</v>
      </c>
      <c r="G26" s="6">
        <f t="shared" si="2"/>
        <v>56.88</v>
      </c>
      <c r="H26" s="5">
        <f t="shared" si="4"/>
        <v>1210.1571381062756</v>
      </c>
      <c r="I26" s="3" t="str">
        <f>IF(B26="","","Unpaid")</f>
        <v>Unpaid</v>
      </c>
      <c r="J26" s="6">
        <f t="shared" si="6"/>
        <v>244136.17839313796</v>
      </c>
    </row>
    <row r="27" spans="2:10">
      <c r="B27" s="3" cm="1">
        <f t="array" ref="B27">IF(ROW()-ROW($B$7)&lt;=duration,ROW()-ROW($B$7),"")</f>
        <v>20</v>
      </c>
      <c r="C27" s="4">
        <f t="shared" si="5"/>
        <v>46147</v>
      </c>
      <c r="D27" s="6">
        <f t="shared" si="3"/>
        <v>606.15835525538864</v>
      </c>
      <c r="E27" s="6">
        <f t="shared" si="0"/>
        <v>547.11878285088687</v>
      </c>
      <c r="F27" s="5">
        <f t="shared" si="1"/>
        <v>1153.2771381062755</v>
      </c>
      <c r="G27" s="6">
        <f t="shared" si="2"/>
        <v>56.88</v>
      </c>
      <c r="H27" s="5">
        <f t="shared" si="4"/>
        <v>1210.1571381062756</v>
      </c>
      <c r="I27" s="3" t="str">
        <f t="shared" si="7"/>
        <v>Unpaid</v>
      </c>
      <c r="J27" s="6">
        <f t="shared" si="6"/>
        <v>244136.17839313796</v>
      </c>
    </row>
    <row r="28" spans="2:10">
      <c r="B28" s="3" cm="1">
        <f t="array" ref="B28">IF(ROW()-ROW($B$7)&lt;=duration,ROW()-ROW($B$7),"")</f>
        <v>21</v>
      </c>
      <c r="C28" s="4">
        <f t="shared" si="5"/>
        <v>46178</v>
      </c>
      <c r="D28" s="6">
        <f t="shared" si="3"/>
        <v>607.54746815284886</v>
      </c>
      <c r="E28" s="6">
        <f t="shared" si="0"/>
        <v>545.72966995342665</v>
      </c>
      <c r="F28" s="5">
        <f t="shared" si="1"/>
        <v>1153.2771381062755</v>
      </c>
      <c r="G28" s="6">
        <f t="shared" si="2"/>
        <v>56.88</v>
      </c>
      <c r="H28" s="5">
        <f t="shared" si="4"/>
        <v>1210.1571381062756</v>
      </c>
      <c r="I28" s="3" t="str">
        <f t="shared" si="7"/>
        <v>Unpaid</v>
      </c>
      <c r="J28" s="6">
        <f t="shared" si="6"/>
        <v>244136.17839313796</v>
      </c>
    </row>
    <row r="29" spans="2:10">
      <c r="B29" s="3" cm="1">
        <f t="array" ref="B29">IF(ROW()-ROW($B$7)&lt;=duration,ROW()-ROW($B$7),"")</f>
        <v>22</v>
      </c>
      <c r="C29" s="4">
        <f t="shared" si="5"/>
        <v>46208</v>
      </c>
      <c r="D29" s="6">
        <f t="shared" si="3"/>
        <v>608.93976443403244</v>
      </c>
      <c r="E29" s="6">
        <f t="shared" si="0"/>
        <v>544.33737367224307</v>
      </c>
      <c r="F29" s="5">
        <f t="shared" si="1"/>
        <v>1153.2771381062755</v>
      </c>
      <c r="G29" s="6">
        <f t="shared" si="2"/>
        <v>56.88</v>
      </c>
      <c r="H29" s="5">
        <f t="shared" si="4"/>
        <v>1210.1571381062756</v>
      </c>
      <c r="I29" s="3" t="str">
        <f t="shared" si="7"/>
        <v>Unpaid</v>
      </c>
      <c r="J29" s="6">
        <f t="shared" si="6"/>
        <v>244136.17839313796</v>
      </c>
    </row>
    <row r="30" spans="2:10">
      <c r="B30" s="3" cm="1">
        <f t="array" ref="B30">IF(ROW()-ROW($B$7)&lt;=duration,ROW()-ROW($B$7),"")</f>
        <v>23</v>
      </c>
      <c r="C30" s="4">
        <f t="shared" si="5"/>
        <v>46239</v>
      </c>
      <c r="D30" s="6">
        <f t="shared" si="3"/>
        <v>610.33525139419373</v>
      </c>
      <c r="E30" s="6">
        <f t="shared" si="0"/>
        <v>542.94188671208178</v>
      </c>
      <c r="F30" s="5">
        <f t="shared" si="1"/>
        <v>1153.2771381062755</v>
      </c>
      <c r="G30" s="6">
        <f t="shared" si="2"/>
        <v>56.88</v>
      </c>
      <c r="H30" s="5">
        <f t="shared" si="4"/>
        <v>1210.1571381062756</v>
      </c>
      <c r="I30" s="3" t="str">
        <f t="shared" si="7"/>
        <v>Unpaid</v>
      </c>
      <c r="J30" s="6">
        <f t="shared" si="6"/>
        <v>244136.17839313796</v>
      </c>
    </row>
    <row r="31" spans="2:10">
      <c r="B31" s="3" cm="1">
        <f t="array" ref="B31">IF(ROW()-ROW($B$7)&lt;=duration,ROW()-ROW($B$7),"")</f>
        <v>24</v>
      </c>
      <c r="C31" s="4">
        <f t="shared" si="5"/>
        <v>46270</v>
      </c>
      <c r="D31" s="6">
        <f t="shared" si="3"/>
        <v>611.73393634530544</v>
      </c>
      <c r="E31" s="6">
        <f t="shared" si="0"/>
        <v>541.54320176097008</v>
      </c>
      <c r="F31" s="5">
        <f t="shared" si="1"/>
        <v>1153.2771381062755</v>
      </c>
      <c r="G31" s="6">
        <f t="shared" si="2"/>
        <v>56.88</v>
      </c>
      <c r="H31" s="5">
        <f t="shared" si="4"/>
        <v>1210.1571381062756</v>
      </c>
      <c r="I31" s="3" t="str">
        <f t="shared" si="7"/>
        <v>Unpaid</v>
      </c>
      <c r="J31" s="6">
        <f t="shared" si="6"/>
        <v>244136.17839313796</v>
      </c>
    </row>
    <row r="32" spans="2:10">
      <c r="B32" s="3" cm="1">
        <f t="array" ref="B32">IF(ROW()-ROW($B$7)&lt;=duration,ROW()-ROW($B$7),"")</f>
        <v>25</v>
      </c>
      <c r="C32" s="4">
        <f t="shared" si="5"/>
        <v>46300</v>
      </c>
      <c r="D32" s="6">
        <f t="shared" si="3"/>
        <v>613.13582661609678</v>
      </c>
      <c r="E32" s="6">
        <f t="shared" si="0"/>
        <v>540.14131149017874</v>
      </c>
      <c r="F32" s="5">
        <f t="shared" si="1"/>
        <v>1153.2771381062755</v>
      </c>
      <c r="G32" s="6">
        <f t="shared" si="2"/>
        <v>56.88</v>
      </c>
      <c r="H32" s="5">
        <f t="shared" si="4"/>
        <v>1210.1571381062756</v>
      </c>
      <c r="I32" s="3" t="str">
        <f t="shared" si="7"/>
        <v>Unpaid</v>
      </c>
      <c r="J32" s="6">
        <f t="shared" si="6"/>
        <v>244136.17839313796</v>
      </c>
    </row>
    <row r="33" spans="2:10">
      <c r="B33" s="3" cm="1">
        <f t="array" ref="B33">IF(ROW()-ROW($B$7)&lt;=duration,ROW()-ROW($B$7),"")</f>
        <v>26</v>
      </c>
      <c r="C33" s="4">
        <f t="shared" si="5"/>
        <v>46331</v>
      </c>
      <c r="D33" s="6">
        <f t="shared" si="3"/>
        <v>614.54092955209194</v>
      </c>
      <c r="E33" s="6">
        <f t="shared" si="0"/>
        <v>538.73620855418358</v>
      </c>
      <c r="F33" s="5">
        <f t="shared" si="1"/>
        <v>1153.2771381062755</v>
      </c>
      <c r="G33" s="6">
        <f t="shared" si="2"/>
        <v>56.88</v>
      </c>
      <c r="H33" s="5">
        <f t="shared" si="4"/>
        <v>1210.1571381062756</v>
      </c>
      <c r="I33" s="3" t="str">
        <f t="shared" si="7"/>
        <v>Unpaid</v>
      </c>
      <c r="J33" s="6">
        <f t="shared" si="6"/>
        <v>244136.17839313796</v>
      </c>
    </row>
    <row r="34" spans="2:10">
      <c r="B34" s="3" cm="1">
        <f t="array" ref="B34">IF(ROW()-ROW($B$7)&lt;=duration,ROW()-ROW($B$7),"")</f>
        <v>27</v>
      </c>
      <c r="C34" s="4">
        <f t="shared" si="5"/>
        <v>46361</v>
      </c>
      <c r="D34" s="6">
        <f t="shared" si="3"/>
        <v>615.94925251564894</v>
      </c>
      <c r="E34" s="6">
        <f t="shared" si="0"/>
        <v>537.32788559062658</v>
      </c>
      <c r="F34" s="5">
        <f t="shared" si="1"/>
        <v>1153.2771381062755</v>
      </c>
      <c r="G34" s="6">
        <f t="shared" si="2"/>
        <v>56.88</v>
      </c>
      <c r="H34" s="5">
        <f t="shared" si="4"/>
        <v>1210.1571381062756</v>
      </c>
      <c r="I34" s="3" t="str">
        <f t="shared" si="7"/>
        <v>Unpaid</v>
      </c>
      <c r="J34" s="6">
        <f t="shared" si="6"/>
        <v>244136.17839313796</v>
      </c>
    </row>
    <row r="35" spans="2:10">
      <c r="B35" s="3" cm="1">
        <f t="array" ref="B35">IF(ROW()-ROW($B$7)&lt;=duration,ROW()-ROW($B$7),"")</f>
        <v>28</v>
      </c>
      <c r="C35" s="4">
        <f t="shared" si="5"/>
        <v>46392</v>
      </c>
      <c r="D35" s="6">
        <f t="shared" si="3"/>
        <v>617.36080288599737</v>
      </c>
      <c r="E35" s="6">
        <f t="shared" si="0"/>
        <v>535.91633522027814</v>
      </c>
      <c r="F35" s="5">
        <f t="shared" si="1"/>
        <v>1153.2771381062755</v>
      </c>
      <c r="G35" s="6">
        <f t="shared" si="2"/>
        <v>56.88</v>
      </c>
      <c r="H35" s="5">
        <f t="shared" si="4"/>
        <v>1210.1571381062756</v>
      </c>
      <c r="I35" s="3" t="str">
        <f t="shared" si="7"/>
        <v>Unpaid</v>
      </c>
      <c r="J35" s="6">
        <f t="shared" si="6"/>
        <v>244136.17839313796</v>
      </c>
    </row>
    <row r="36" spans="2:10">
      <c r="B36" s="3" cm="1">
        <f t="array" ref="B36">IF(ROW()-ROW($B$7)&lt;=duration,ROW()-ROW($B$7),"")</f>
        <v>29</v>
      </c>
      <c r="C36" s="4">
        <f t="shared" si="5"/>
        <v>46423</v>
      </c>
      <c r="D36" s="6">
        <f t="shared" si="3"/>
        <v>618.77558805927765</v>
      </c>
      <c r="E36" s="6">
        <f t="shared" si="0"/>
        <v>534.50155004699786</v>
      </c>
      <c r="F36" s="5">
        <f t="shared" si="1"/>
        <v>1153.2771381062755</v>
      </c>
      <c r="G36" s="6">
        <f t="shared" si="2"/>
        <v>56.88</v>
      </c>
      <c r="H36" s="5">
        <f t="shared" si="4"/>
        <v>1210.1571381062756</v>
      </c>
      <c r="I36" s="3" t="str">
        <f t="shared" si="7"/>
        <v>Unpaid</v>
      </c>
      <c r="J36" s="6">
        <f t="shared" si="6"/>
        <v>244136.17839313796</v>
      </c>
    </row>
    <row r="37" spans="2:10">
      <c r="B37" s="3" cm="1">
        <f t="array" ref="B37">IF(ROW()-ROW($B$7)&lt;=duration,ROW()-ROW($B$7),"")</f>
        <v>30</v>
      </c>
      <c r="C37" s="4">
        <f t="shared" si="5"/>
        <v>46451</v>
      </c>
      <c r="D37" s="6">
        <f t="shared" si="3"/>
        <v>620.1936154485802</v>
      </c>
      <c r="E37" s="6">
        <f t="shared" si="0"/>
        <v>533.08352265769531</v>
      </c>
      <c r="F37" s="5">
        <f t="shared" si="1"/>
        <v>1153.2771381062755</v>
      </c>
      <c r="G37" s="6">
        <f t="shared" si="2"/>
        <v>56.88</v>
      </c>
      <c r="H37" s="5">
        <f t="shared" si="4"/>
        <v>1210.1571381062756</v>
      </c>
      <c r="I37" s="3" t="str">
        <f t="shared" si="7"/>
        <v>Unpaid</v>
      </c>
      <c r="J37" s="6">
        <f t="shared" si="6"/>
        <v>244136.17839313796</v>
      </c>
    </row>
    <row r="38" spans="2:10">
      <c r="B38" s="3" cm="1">
        <f t="array" ref="B38">IF(ROW()-ROW($B$7)&lt;=duration,ROW()-ROW($B$7),"")</f>
        <v>31</v>
      </c>
      <c r="C38" s="4">
        <f t="shared" si="5"/>
        <v>46482</v>
      </c>
      <c r="D38" s="6">
        <f t="shared" si="3"/>
        <v>621.61489248398311</v>
      </c>
      <c r="E38" s="6">
        <f t="shared" si="0"/>
        <v>531.6622456222924</v>
      </c>
      <c r="F38" s="5">
        <f t="shared" si="1"/>
        <v>1153.2771381062755</v>
      </c>
      <c r="G38" s="6">
        <f t="shared" si="2"/>
        <v>56.88</v>
      </c>
      <c r="H38" s="5">
        <f t="shared" si="4"/>
        <v>1210.1571381062756</v>
      </c>
      <c r="I38" s="3" t="str">
        <f t="shared" si="7"/>
        <v>Unpaid</v>
      </c>
      <c r="J38" s="6">
        <f t="shared" si="6"/>
        <v>244136.17839313796</v>
      </c>
    </row>
    <row r="39" spans="2:10">
      <c r="B39" s="3" cm="1">
        <f t="array" ref="B39">IF(ROW()-ROW($B$7)&lt;=duration,ROW()-ROW($B$7),"")</f>
        <v>32</v>
      </c>
      <c r="C39" s="4">
        <f t="shared" si="5"/>
        <v>46512</v>
      </c>
      <c r="D39" s="6">
        <f t="shared" si="3"/>
        <v>623.03942661259225</v>
      </c>
      <c r="E39" s="6">
        <f t="shared" si="0"/>
        <v>530.23771149368326</v>
      </c>
      <c r="F39" s="5">
        <f t="shared" si="1"/>
        <v>1153.2771381062755</v>
      </c>
      <c r="G39" s="6">
        <f t="shared" si="2"/>
        <v>56.88</v>
      </c>
      <c r="H39" s="5">
        <f t="shared" si="4"/>
        <v>1210.1571381062756</v>
      </c>
      <c r="I39" s="3" t="str">
        <f t="shared" si="7"/>
        <v>Unpaid</v>
      </c>
      <c r="J39" s="6">
        <f t="shared" si="6"/>
        <v>244136.17839313796</v>
      </c>
    </row>
    <row r="40" spans="2:10">
      <c r="B40" s="3" cm="1">
        <f t="array" ref="B40">IF(ROW()-ROW($B$7)&lt;=duration,ROW()-ROW($B$7),"")</f>
        <v>33</v>
      </c>
      <c r="C40" s="4">
        <f t="shared" si="5"/>
        <v>46543</v>
      </c>
      <c r="D40" s="6">
        <f t="shared" si="3"/>
        <v>624.46722529857948</v>
      </c>
      <c r="E40" s="6">
        <f t="shared" si="0"/>
        <v>528.80991280769604</v>
      </c>
      <c r="F40" s="5">
        <f t="shared" si="1"/>
        <v>1153.2771381062755</v>
      </c>
      <c r="G40" s="6">
        <f t="shared" si="2"/>
        <v>56.88</v>
      </c>
      <c r="H40" s="5">
        <f t="shared" si="4"/>
        <v>1210.1571381062756</v>
      </c>
      <c r="I40" s="3" t="str">
        <f t="shared" si="7"/>
        <v>Unpaid</v>
      </c>
      <c r="J40" s="6">
        <f t="shared" si="6"/>
        <v>244136.17839313796</v>
      </c>
    </row>
    <row r="41" spans="2:10">
      <c r="B41" s="3" cm="1">
        <f t="array" ref="B41">IF(ROW()-ROW($B$7)&lt;=duration,ROW()-ROW($B$7),"")</f>
        <v>34</v>
      </c>
      <c r="C41" s="4">
        <f t="shared" si="5"/>
        <v>46573</v>
      </c>
      <c r="D41" s="6">
        <f t="shared" si="3"/>
        <v>625.8982960232222</v>
      </c>
      <c r="E41" s="6">
        <f t="shared" si="0"/>
        <v>527.37884208305331</v>
      </c>
      <c r="F41" s="5">
        <f t="shared" si="1"/>
        <v>1153.2771381062755</v>
      </c>
      <c r="G41" s="6">
        <f t="shared" si="2"/>
        <v>56.88</v>
      </c>
      <c r="H41" s="5">
        <f t="shared" si="4"/>
        <v>1210.1571381062756</v>
      </c>
      <c r="I41" s="3" t="str">
        <f t="shared" si="7"/>
        <v>Unpaid</v>
      </c>
      <c r="J41" s="6">
        <f t="shared" si="6"/>
        <v>244136.17839313796</v>
      </c>
    </row>
    <row r="42" spans="2:10">
      <c r="B42" s="3" cm="1">
        <f t="array" ref="B42">IF(ROW()-ROW($B$7)&lt;=duration,ROW()-ROW($B$7),"")</f>
        <v>35</v>
      </c>
      <c r="C42" s="4">
        <f t="shared" si="5"/>
        <v>46604</v>
      </c>
      <c r="D42" s="6">
        <f t="shared" si="3"/>
        <v>627.33264628494203</v>
      </c>
      <c r="E42" s="6">
        <f t="shared" si="0"/>
        <v>525.94449182133349</v>
      </c>
      <c r="F42" s="5">
        <f t="shared" si="1"/>
        <v>1153.2771381062755</v>
      </c>
      <c r="G42" s="6">
        <f t="shared" si="2"/>
        <v>56.88</v>
      </c>
      <c r="H42" s="5">
        <f t="shared" si="4"/>
        <v>1210.1571381062756</v>
      </c>
      <c r="I42" s="3" t="str">
        <f t="shared" si="7"/>
        <v>Unpaid</v>
      </c>
      <c r="J42" s="6">
        <f t="shared" si="6"/>
        <v>244136.17839313796</v>
      </c>
    </row>
    <row r="43" spans="2:10">
      <c r="B43" s="3" cm="1">
        <f t="array" ref="B43">IF(ROW()-ROW($B$7)&lt;=duration,ROW()-ROW($B$7),"")</f>
        <v>36</v>
      </c>
      <c r="C43" s="4">
        <f t="shared" si="5"/>
        <v>46635</v>
      </c>
      <c r="D43" s="6">
        <f t="shared" si="3"/>
        <v>628.77028359934491</v>
      </c>
      <c r="E43" s="6">
        <f t="shared" si="0"/>
        <v>524.50685450693061</v>
      </c>
      <c r="F43" s="5">
        <f t="shared" si="1"/>
        <v>1153.2771381062755</v>
      </c>
      <c r="G43" s="6">
        <f t="shared" si="2"/>
        <v>56.88</v>
      </c>
      <c r="H43" s="5">
        <f t="shared" si="4"/>
        <v>1210.1571381062756</v>
      </c>
      <c r="I43" s="3" t="str">
        <f t="shared" si="7"/>
        <v>Unpaid</v>
      </c>
      <c r="J43" s="6">
        <f t="shared" si="6"/>
        <v>244136.17839313796</v>
      </c>
    </row>
    <row r="44" spans="2:10">
      <c r="B44" s="3" cm="1">
        <f t="array" ref="B44">IF(ROW()-ROW($B$7)&lt;=duration,ROW()-ROW($B$7),"")</f>
        <v>37</v>
      </c>
      <c r="C44" s="4">
        <f t="shared" si="5"/>
        <v>46665</v>
      </c>
      <c r="D44" s="6">
        <f t="shared" si="3"/>
        <v>630.21121549926011</v>
      </c>
      <c r="E44" s="6">
        <f t="shared" si="0"/>
        <v>523.06592260701541</v>
      </c>
      <c r="F44" s="5">
        <f t="shared" si="1"/>
        <v>1153.2771381062755</v>
      </c>
      <c r="G44" s="6">
        <f t="shared" si="2"/>
        <v>56.88</v>
      </c>
      <c r="H44" s="5">
        <f t="shared" si="4"/>
        <v>1210.1571381062756</v>
      </c>
      <c r="I44" s="3" t="str">
        <f t="shared" si="7"/>
        <v>Unpaid</v>
      </c>
      <c r="J44" s="6">
        <f t="shared" si="6"/>
        <v>244136.17839313796</v>
      </c>
    </row>
    <row r="45" spans="2:10">
      <c r="B45" s="3" cm="1">
        <f t="array" ref="B45">IF(ROW()-ROW($B$7)&lt;=duration,ROW()-ROW($B$7),"")</f>
        <v>38</v>
      </c>
      <c r="C45" s="4">
        <f t="shared" si="5"/>
        <v>46696</v>
      </c>
      <c r="D45" s="6">
        <f t="shared" si="3"/>
        <v>631.65544953477911</v>
      </c>
      <c r="E45" s="6">
        <f t="shared" si="0"/>
        <v>521.62168857149641</v>
      </c>
      <c r="F45" s="5">
        <f t="shared" si="1"/>
        <v>1153.2771381062755</v>
      </c>
      <c r="G45" s="6">
        <f t="shared" si="2"/>
        <v>56.88</v>
      </c>
      <c r="H45" s="5">
        <f t="shared" si="4"/>
        <v>1210.1571381062756</v>
      </c>
      <c r="I45" s="3" t="str">
        <f t="shared" si="7"/>
        <v>Unpaid</v>
      </c>
      <c r="J45" s="6">
        <f t="shared" si="6"/>
        <v>244136.17839313796</v>
      </c>
    </row>
    <row r="46" spans="2:10">
      <c r="B46" s="3" cm="1">
        <f t="array" ref="B46">IF(ROW()-ROW($B$7)&lt;=duration,ROW()-ROW($B$7),"")</f>
        <v>39</v>
      </c>
      <c r="C46" s="4">
        <f t="shared" si="5"/>
        <v>46726</v>
      </c>
      <c r="D46" s="6">
        <f t="shared" si="3"/>
        <v>633.10299327329642</v>
      </c>
      <c r="E46" s="6">
        <f t="shared" si="0"/>
        <v>520.1741448329791</v>
      </c>
      <c r="F46" s="5">
        <f t="shared" si="1"/>
        <v>1153.2771381062755</v>
      </c>
      <c r="G46" s="6">
        <f t="shared" si="2"/>
        <v>56.88</v>
      </c>
      <c r="H46" s="5">
        <f t="shared" si="4"/>
        <v>1210.1571381062756</v>
      </c>
      <c r="I46" s="3" t="str">
        <f t="shared" si="7"/>
        <v>Unpaid</v>
      </c>
      <c r="J46" s="6">
        <f t="shared" si="6"/>
        <v>244136.17839313796</v>
      </c>
    </row>
    <row r="47" spans="2:10">
      <c r="B47" s="3" cm="1">
        <f t="array" ref="B47">IF(ROW()-ROW($B$7)&lt;=duration,ROW()-ROW($B$7),"")</f>
        <v>40</v>
      </c>
      <c r="C47" s="4">
        <f t="shared" si="5"/>
        <v>46757</v>
      </c>
      <c r="D47" s="6">
        <f t="shared" si="3"/>
        <v>634.55385429954777</v>
      </c>
      <c r="E47" s="6">
        <f t="shared" si="0"/>
        <v>518.72328380672775</v>
      </c>
      <c r="F47" s="5">
        <f t="shared" si="1"/>
        <v>1153.2771381062755</v>
      </c>
      <c r="G47" s="6">
        <f t="shared" si="2"/>
        <v>56.88</v>
      </c>
      <c r="H47" s="5">
        <f t="shared" si="4"/>
        <v>1210.1571381062756</v>
      </c>
      <c r="I47" s="3" t="str">
        <f t="shared" si="7"/>
        <v>Unpaid</v>
      </c>
      <c r="J47" s="6">
        <f t="shared" si="6"/>
        <v>244136.17839313796</v>
      </c>
    </row>
    <row r="48" spans="2:10">
      <c r="B48" s="3" cm="1">
        <f t="array" ref="B48">IF(ROW()-ROW($B$7)&lt;=duration,ROW()-ROW($B$7),"")</f>
        <v>41</v>
      </c>
      <c r="C48" s="4">
        <f t="shared" si="5"/>
        <v>46788</v>
      </c>
      <c r="D48" s="6">
        <f t="shared" si="3"/>
        <v>636.00804021565079</v>
      </c>
      <c r="E48" s="6">
        <f t="shared" si="0"/>
        <v>517.26909789062472</v>
      </c>
      <c r="F48" s="5">
        <f t="shared" si="1"/>
        <v>1153.2771381062755</v>
      </c>
      <c r="G48" s="6">
        <f t="shared" si="2"/>
        <v>56.88</v>
      </c>
      <c r="H48" s="5">
        <f t="shared" si="4"/>
        <v>1210.1571381062756</v>
      </c>
      <c r="I48" s="3" t="str">
        <f t="shared" si="7"/>
        <v>Unpaid</v>
      </c>
      <c r="J48" s="6">
        <f t="shared" si="6"/>
        <v>244136.17839313796</v>
      </c>
    </row>
    <row r="49" spans="2:10">
      <c r="B49" s="3" cm="1">
        <f t="array" ref="B49">IF(ROW()-ROW($B$7)&lt;=duration,ROW()-ROW($B$7),"")</f>
        <v>42</v>
      </c>
      <c r="C49" s="4">
        <f t="shared" si="5"/>
        <v>46817</v>
      </c>
      <c r="D49" s="6">
        <f t="shared" si="3"/>
        <v>637.46555864114521</v>
      </c>
      <c r="E49" s="6">
        <f t="shared" si="0"/>
        <v>515.81157946513031</v>
      </c>
      <c r="F49" s="5">
        <f t="shared" si="1"/>
        <v>1153.2771381062755</v>
      </c>
      <c r="G49" s="6">
        <f t="shared" si="2"/>
        <v>56.88</v>
      </c>
      <c r="H49" s="5">
        <f t="shared" si="4"/>
        <v>1210.1571381062756</v>
      </c>
      <c r="I49" s="3" t="str">
        <f t="shared" si="7"/>
        <v>Unpaid</v>
      </c>
      <c r="J49" s="6">
        <f t="shared" si="6"/>
        <v>244136.17839313796</v>
      </c>
    </row>
    <row r="50" spans="2:10">
      <c r="B50" s="3" cm="1">
        <f t="array" ref="B50">IF(ROW()-ROW($B$7)&lt;=duration,ROW()-ROW($B$7),"")</f>
        <v>43</v>
      </c>
      <c r="C50" s="4">
        <f t="shared" si="5"/>
        <v>46848</v>
      </c>
      <c r="D50" s="6">
        <f t="shared" si="3"/>
        <v>638.92641721303096</v>
      </c>
      <c r="E50" s="6">
        <f t="shared" si="0"/>
        <v>514.35072089324456</v>
      </c>
      <c r="F50" s="5">
        <f t="shared" si="1"/>
        <v>1153.2771381062755</v>
      </c>
      <c r="G50" s="6">
        <f t="shared" si="2"/>
        <v>56.88</v>
      </c>
      <c r="H50" s="5">
        <f t="shared" si="4"/>
        <v>1210.1571381062756</v>
      </c>
      <c r="I50" s="3" t="str">
        <f t="shared" si="7"/>
        <v>Unpaid</v>
      </c>
      <c r="J50" s="6">
        <f t="shared" si="6"/>
        <v>244136.17839313796</v>
      </c>
    </row>
    <row r="51" spans="2:10">
      <c r="B51" s="3" cm="1">
        <f t="array" ref="B51">IF(ROW()-ROW($B$7)&lt;=duration,ROW()-ROW($B$7),"")</f>
        <v>44</v>
      </c>
      <c r="C51" s="4">
        <f t="shared" si="5"/>
        <v>46878</v>
      </c>
      <c r="D51" s="6">
        <f t="shared" si="3"/>
        <v>640.39062358581089</v>
      </c>
      <c r="E51" s="6">
        <f t="shared" si="0"/>
        <v>512.88651452046463</v>
      </c>
      <c r="F51" s="5">
        <f t="shared" si="1"/>
        <v>1153.2771381062755</v>
      </c>
      <c r="G51" s="6">
        <f t="shared" si="2"/>
        <v>56.88</v>
      </c>
      <c r="H51" s="5">
        <f t="shared" si="4"/>
        <v>1210.1571381062756</v>
      </c>
      <c r="I51" s="3" t="str">
        <f t="shared" si="7"/>
        <v>Unpaid</v>
      </c>
      <c r="J51" s="6">
        <f t="shared" si="6"/>
        <v>244136.17839313796</v>
      </c>
    </row>
    <row r="52" spans="2:10">
      <c r="B52" s="3" cm="1">
        <f t="array" ref="B52">IF(ROW()-ROW($B$7)&lt;=duration,ROW()-ROW($B$7),"")</f>
        <v>45</v>
      </c>
      <c r="C52" s="4">
        <f t="shared" si="5"/>
        <v>46909</v>
      </c>
      <c r="D52" s="6">
        <f t="shared" si="3"/>
        <v>641.85818543152834</v>
      </c>
      <c r="E52" s="6">
        <f t="shared" si="0"/>
        <v>511.41895267474717</v>
      </c>
      <c r="F52" s="5">
        <f t="shared" si="1"/>
        <v>1153.2771381062755</v>
      </c>
      <c r="G52" s="6">
        <f t="shared" si="2"/>
        <v>56.88</v>
      </c>
      <c r="H52" s="5">
        <f t="shared" si="4"/>
        <v>1210.1571381062756</v>
      </c>
      <c r="I52" s="3" t="str">
        <f t="shared" si="7"/>
        <v>Unpaid</v>
      </c>
      <c r="J52" s="6">
        <f t="shared" si="6"/>
        <v>244136.17839313796</v>
      </c>
    </row>
    <row r="53" spans="2:10">
      <c r="B53" s="3" cm="1">
        <f t="array" ref="B53">IF(ROW()-ROW($B$7)&lt;=duration,ROW()-ROW($B$7),"")</f>
        <v>46</v>
      </c>
      <c r="C53" s="4">
        <f t="shared" si="5"/>
        <v>46939</v>
      </c>
      <c r="D53" s="6">
        <f t="shared" si="3"/>
        <v>643.32911043980891</v>
      </c>
      <c r="E53" s="6">
        <f t="shared" si="0"/>
        <v>509.9480276664666</v>
      </c>
      <c r="F53" s="5">
        <f t="shared" si="1"/>
        <v>1153.2771381062755</v>
      </c>
      <c r="G53" s="6">
        <f t="shared" si="2"/>
        <v>56.88</v>
      </c>
      <c r="H53" s="5">
        <f t="shared" si="4"/>
        <v>1210.1571381062756</v>
      </c>
      <c r="I53" s="3" t="str">
        <f t="shared" si="7"/>
        <v>Unpaid</v>
      </c>
      <c r="J53" s="6">
        <f t="shared" si="6"/>
        <v>244136.17839313796</v>
      </c>
    </row>
    <row r="54" spans="2:10">
      <c r="B54" s="3" cm="1">
        <f t="array" ref="B54">IF(ROW()-ROW($B$7)&lt;=duration,ROW()-ROW($B$7),"")</f>
        <v>47</v>
      </c>
      <c r="C54" s="4">
        <f t="shared" si="5"/>
        <v>46970</v>
      </c>
      <c r="D54" s="6">
        <f t="shared" si="3"/>
        <v>644.80340631790034</v>
      </c>
      <c r="E54" s="6">
        <f t="shared" si="0"/>
        <v>508.47373178837518</v>
      </c>
      <c r="F54" s="5">
        <f t="shared" si="1"/>
        <v>1153.2771381062755</v>
      </c>
      <c r="G54" s="6">
        <f t="shared" si="2"/>
        <v>56.88</v>
      </c>
      <c r="H54" s="5">
        <f t="shared" si="4"/>
        <v>1210.1571381062756</v>
      </c>
      <c r="I54" s="3" t="str">
        <f t="shared" si="7"/>
        <v>Unpaid</v>
      </c>
      <c r="J54" s="6">
        <f t="shared" si="6"/>
        <v>244136.17839313796</v>
      </c>
    </row>
    <row r="55" spans="2:10">
      <c r="B55" s="3" cm="1">
        <f t="array" ref="B55">IF(ROW()-ROW($B$7)&lt;=duration,ROW()-ROW($B$7),"")</f>
        <v>48</v>
      </c>
      <c r="C55" s="4">
        <f t="shared" si="5"/>
        <v>47001</v>
      </c>
      <c r="D55" s="6">
        <f t="shared" si="3"/>
        <v>646.28108079071194</v>
      </c>
      <c r="E55" s="6">
        <f t="shared" si="0"/>
        <v>506.99605731556352</v>
      </c>
      <c r="F55" s="5">
        <f t="shared" si="1"/>
        <v>1153.2771381062755</v>
      </c>
      <c r="G55" s="6">
        <f t="shared" si="2"/>
        <v>56.88</v>
      </c>
      <c r="H55" s="5">
        <f t="shared" si="4"/>
        <v>1210.1571381062756</v>
      </c>
      <c r="I55" s="3" t="str">
        <f t="shared" si="7"/>
        <v>Unpaid</v>
      </c>
      <c r="J55" s="6">
        <f t="shared" si="6"/>
        <v>244136.17839313796</v>
      </c>
    </row>
    <row r="56" spans="2:10">
      <c r="B56" s="3" cm="1">
        <f t="array" ref="B56">IF(ROW()-ROW($B$7)&lt;=duration,ROW()-ROW($B$7),"")</f>
        <v>49</v>
      </c>
      <c r="C56" s="4">
        <f t="shared" si="5"/>
        <v>47031</v>
      </c>
      <c r="D56" s="6">
        <f t="shared" si="3"/>
        <v>647.76214160085749</v>
      </c>
      <c r="E56" s="6">
        <f t="shared" si="0"/>
        <v>505.51499650541803</v>
      </c>
      <c r="F56" s="5">
        <f t="shared" si="1"/>
        <v>1153.2771381062755</v>
      </c>
      <c r="G56" s="6">
        <f t="shared" si="2"/>
        <v>56.88</v>
      </c>
      <c r="H56" s="5">
        <f t="shared" si="4"/>
        <v>1210.1571381062756</v>
      </c>
      <c r="I56" s="3" t="str">
        <f t="shared" si="7"/>
        <v>Unpaid</v>
      </c>
      <c r="J56" s="6">
        <f t="shared" si="6"/>
        <v>244136.17839313796</v>
      </c>
    </row>
    <row r="57" spans="2:10">
      <c r="B57" s="3" cm="1">
        <f t="array" ref="B57">IF(ROW()-ROW($B$7)&lt;=duration,ROW()-ROW($B$7),"")</f>
        <v>50</v>
      </c>
      <c r="C57" s="4">
        <f t="shared" si="5"/>
        <v>47062</v>
      </c>
      <c r="D57" s="6">
        <f t="shared" si="3"/>
        <v>649.24659650869273</v>
      </c>
      <c r="E57" s="6">
        <f t="shared" si="0"/>
        <v>504.03054159758278</v>
      </c>
      <c r="F57" s="5">
        <f t="shared" si="1"/>
        <v>1153.2771381062755</v>
      </c>
      <c r="G57" s="6">
        <f t="shared" si="2"/>
        <v>56.88</v>
      </c>
      <c r="H57" s="5">
        <f t="shared" si="4"/>
        <v>1210.1571381062756</v>
      </c>
      <c r="I57" s="3" t="str">
        <f t="shared" si="7"/>
        <v>Unpaid</v>
      </c>
      <c r="J57" s="6">
        <f t="shared" si="6"/>
        <v>244136.17839313796</v>
      </c>
    </row>
    <row r="58" spans="2:10">
      <c r="B58" s="3" cm="1">
        <f t="array" ref="B58">IF(ROW()-ROW($B$7)&lt;=duration,ROW()-ROW($B$7),"")</f>
        <v>51</v>
      </c>
      <c r="C58" s="4">
        <f t="shared" si="5"/>
        <v>47092</v>
      </c>
      <c r="D58" s="6">
        <f t="shared" si="3"/>
        <v>650.73445329235847</v>
      </c>
      <c r="E58" s="6">
        <f t="shared" si="0"/>
        <v>502.54268481391705</v>
      </c>
      <c r="F58" s="5">
        <f t="shared" si="1"/>
        <v>1153.2771381062755</v>
      </c>
      <c r="G58" s="6">
        <f t="shared" si="2"/>
        <v>56.88</v>
      </c>
      <c r="H58" s="5">
        <f t="shared" si="4"/>
        <v>1210.1571381062756</v>
      </c>
      <c r="I58" s="3" t="str">
        <f t="shared" si="7"/>
        <v>Unpaid</v>
      </c>
      <c r="J58" s="6">
        <f t="shared" si="6"/>
        <v>244136.17839313796</v>
      </c>
    </row>
    <row r="59" spans="2:10">
      <c r="B59" s="3" cm="1">
        <f t="array" ref="B59">IF(ROW()-ROW($B$7)&lt;=duration,ROW()-ROW($B$7),"")</f>
        <v>52</v>
      </c>
      <c r="C59" s="4">
        <f t="shared" si="5"/>
        <v>47123</v>
      </c>
      <c r="D59" s="6">
        <f t="shared" si="3"/>
        <v>652.22571974782011</v>
      </c>
      <c r="E59" s="6">
        <f t="shared" si="0"/>
        <v>501.05141835845541</v>
      </c>
      <c r="F59" s="5">
        <f t="shared" si="1"/>
        <v>1153.2771381062755</v>
      </c>
      <c r="G59" s="6">
        <f t="shared" si="2"/>
        <v>56.88</v>
      </c>
      <c r="H59" s="5">
        <f t="shared" si="4"/>
        <v>1210.1571381062756</v>
      </c>
      <c r="I59" s="3" t="str">
        <f t="shared" si="7"/>
        <v>Unpaid</v>
      </c>
      <c r="J59" s="6">
        <f t="shared" si="6"/>
        <v>244136.17839313796</v>
      </c>
    </row>
    <row r="60" spans="2:10">
      <c r="B60" s="3" cm="1">
        <f t="array" ref="B60">IF(ROW()-ROW($B$7)&lt;=duration,ROW()-ROW($B$7),"")</f>
        <v>53</v>
      </c>
      <c r="C60" s="4">
        <f t="shared" si="5"/>
        <v>47154</v>
      </c>
      <c r="D60" s="6">
        <f t="shared" si="3"/>
        <v>653.72040368890896</v>
      </c>
      <c r="E60" s="6">
        <f t="shared" si="0"/>
        <v>499.55673441736656</v>
      </c>
      <c r="F60" s="5">
        <f t="shared" si="1"/>
        <v>1153.2771381062755</v>
      </c>
      <c r="G60" s="6">
        <f t="shared" si="2"/>
        <v>56.88</v>
      </c>
      <c r="H60" s="5">
        <f t="shared" si="4"/>
        <v>1210.1571381062756</v>
      </c>
      <c r="I60" s="3" t="str">
        <f t="shared" si="7"/>
        <v>Unpaid</v>
      </c>
      <c r="J60" s="6">
        <f t="shared" si="6"/>
        <v>244136.17839313796</v>
      </c>
    </row>
    <row r="61" spans="2:10">
      <c r="B61" s="3" cm="1">
        <f t="array" ref="B61">IF(ROW()-ROW($B$7)&lt;=duration,ROW()-ROW($B$7),"")</f>
        <v>54</v>
      </c>
      <c r="C61" s="4">
        <f t="shared" si="5"/>
        <v>47182</v>
      </c>
      <c r="D61" s="6">
        <f t="shared" si="3"/>
        <v>655.21851294736268</v>
      </c>
      <c r="E61" s="6">
        <f t="shared" si="0"/>
        <v>498.05862515891283</v>
      </c>
      <c r="F61" s="5">
        <f t="shared" si="1"/>
        <v>1153.2771381062755</v>
      </c>
      <c r="G61" s="6">
        <f t="shared" si="2"/>
        <v>56.88</v>
      </c>
      <c r="H61" s="5">
        <f t="shared" si="4"/>
        <v>1210.1571381062756</v>
      </c>
      <c r="I61" s="3" t="str">
        <f t="shared" si="7"/>
        <v>Unpaid</v>
      </c>
      <c r="J61" s="6">
        <f t="shared" si="6"/>
        <v>244136.17839313796</v>
      </c>
    </row>
    <row r="62" spans="2:10">
      <c r="B62" s="3" cm="1">
        <f t="array" ref="B62">IF(ROW()-ROW($B$7)&lt;=duration,ROW()-ROW($B$7),"")</f>
        <v>55</v>
      </c>
      <c r="C62" s="4">
        <f t="shared" si="5"/>
        <v>47213</v>
      </c>
      <c r="D62" s="6">
        <f t="shared" si="3"/>
        <v>656.72005537286714</v>
      </c>
      <c r="E62" s="6">
        <f t="shared" si="0"/>
        <v>496.55708273340844</v>
      </c>
      <c r="F62" s="5">
        <f t="shared" si="1"/>
        <v>1153.2771381062755</v>
      </c>
      <c r="G62" s="6">
        <f t="shared" si="2"/>
        <v>56.88</v>
      </c>
      <c r="H62" s="5">
        <f t="shared" si="4"/>
        <v>1210.1571381062756</v>
      </c>
      <c r="I62" s="3" t="str">
        <f t="shared" si="7"/>
        <v>Unpaid</v>
      </c>
      <c r="J62" s="6">
        <f t="shared" si="6"/>
        <v>244136.17839313796</v>
      </c>
    </row>
    <row r="63" spans="2:10">
      <c r="B63" s="3" cm="1">
        <f t="array" ref="B63">IF(ROW()-ROW($B$7)&lt;=duration,ROW()-ROW($B$7),"")</f>
        <v>56</v>
      </c>
      <c r="C63" s="4">
        <f t="shared" si="5"/>
        <v>47243</v>
      </c>
      <c r="D63" s="6">
        <f t="shared" si="3"/>
        <v>658.22503883309651</v>
      </c>
      <c r="E63" s="6">
        <f t="shared" si="0"/>
        <v>495.05209927317901</v>
      </c>
      <c r="F63" s="5">
        <f t="shared" si="1"/>
        <v>1153.2771381062755</v>
      </c>
      <c r="G63" s="6">
        <f t="shared" si="2"/>
        <v>56.88</v>
      </c>
      <c r="H63" s="5">
        <f t="shared" si="4"/>
        <v>1210.1571381062756</v>
      </c>
      <c r="I63" s="3" t="str">
        <f t="shared" si="7"/>
        <v>Unpaid</v>
      </c>
      <c r="J63" s="6">
        <f t="shared" si="6"/>
        <v>244136.17839313796</v>
      </c>
    </row>
    <row r="64" spans="2:10">
      <c r="B64" s="3" cm="1">
        <f t="array" ref="B64">IF(ROW()-ROW($B$7)&lt;=duration,ROW()-ROW($B$7),"")</f>
        <v>57</v>
      </c>
      <c r="C64" s="4">
        <f t="shared" si="5"/>
        <v>47274</v>
      </c>
      <c r="D64" s="6">
        <f t="shared" si="3"/>
        <v>659.73347121375571</v>
      </c>
      <c r="E64" s="6">
        <f t="shared" si="0"/>
        <v>493.54366689251981</v>
      </c>
      <c r="F64" s="5">
        <f t="shared" si="1"/>
        <v>1153.2771381062755</v>
      </c>
      <c r="G64" s="6">
        <f t="shared" si="2"/>
        <v>56.88</v>
      </c>
      <c r="H64" s="5">
        <f t="shared" si="4"/>
        <v>1210.1571381062756</v>
      </c>
      <c r="I64" s="3" t="str">
        <f t="shared" si="7"/>
        <v>Unpaid</v>
      </c>
      <c r="J64" s="6">
        <f t="shared" si="6"/>
        <v>244136.17839313796</v>
      </c>
    </row>
    <row r="65" spans="2:10">
      <c r="B65" s="3" cm="1">
        <f t="array" ref="B65">IF(ROW()-ROW($B$7)&lt;=duration,ROW()-ROW($B$7),"")</f>
        <v>58</v>
      </c>
      <c r="C65" s="4">
        <f t="shared" si="5"/>
        <v>47304</v>
      </c>
      <c r="D65" s="6">
        <f t="shared" si="3"/>
        <v>661.24536041862052</v>
      </c>
      <c r="E65" s="6">
        <f t="shared" si="0"/>
        <v>492.03177768765499</v>
      </c>
      <c r="F65" s="5">
        <f t="shared" si="1"/>
        <v>1153.2771381062755</v>
      </c>
      <c r="G65" s="6">
        <f t="shared" si="2"/>
        <v>56.88</v>
      </c>
      <c r="H65" s="5">
        <f t="shared" si="4"/>
        <v>1210.1571381062756</v>
      </c>
      <c r="I65" s="3" t="str">
        <f t="shared" si="7"/>
        <v>Unpaid</v>
      </c>
      <c r="J65" s="6">
        <f t="shared" si="6"/>
        <v>244136.17839313796</v>
      </c>
    </row>
    <row r="66" spans="2:10">
      <c r="B66" s="3" cm="1">
        <f t="array" ref="B66">IF(ROW()-ROW($B$7)&lt;=duration,ROW()-ROW($B$7),"")</f>
        <v>59</v>
      </c>
      <c r="C66" s="4">
        <f t="shared" si="5"/>
        <v>47335</v>
      </c>
      <c r="D66" s="6">
        <f t="shared" si="3"/>
        <v>662.76071436957989</v>
      </c>
      <c r="E66" s="6">
        <f t="shared" si="0"/>
        <v>490.51642373669563</v>
      </c>
      <c r="F66" s="5">
        <f t="shared" si="1"/>
        <v>1153.2771381062755</v>
      </c>
      <c r="G66" s="6">
        <f t="shared" si="2"/>
        <v>56.88</v>
      </c>
      <c r="H66" s="5">
        <f t="shared" si="4"/>
        <v>1210.1571381062756</v>
      </c>
      <c r="I66" s="3" t="str">
        <f t="shared" si="7"/>
        <v>Unpaid</v>
      </c>
      <c r="J66" s="6">
        <f t="shared" si="6"/>
        <v>244136.17839313796</v>
      </c>
    </row>
    <row r="67" spans="2:10">
      <c r="B67" s="3" cm="1">
        <f t="array" ref="B67">IF(ROW()-ROW($B$7)&lt;=duration,ROW()-ROW($B$7),"")</f>
        <v>60</v>
      </c>
      <c r="C67" s="4">
        <f t="shared" si="5"/>
        <v>47366</v>
      </c>
      <c r="D67" s="6">
        <f t="shared" si="3"/>
        <v>664.27954100667694</v>
      </c>
      <c r="E67" s="6">
        <f t="shared" si="0"/>
        <v>488.99759709959864</v>
      </c>
      <c r="F67" s="5">
        <f t="shared" si="1"/>
        <v>1153.2771381062755</v>
      </c>
      <c r="G67" s="6">
        <f t="shared" si="2"/>
        <v>56.88</v>
      </c>
      <c r="H67" s="5">
        <f t="shared" si="4"/>
        <v>1210.1571381062756</v>
      </c>
      <c r="I67" s="3" t="str">
        <f t="shared" si="7"/>
        <v>Unpaid</v>
      </c>
      <c r="J67" s="6">
        <f t="shared" si="6"/>
        <v>244136.17839313796</v>
      </c>
    </row>
    <row r="68" spans="2:10">
      <c r="B68" s="3" cm="1">
        <f t="array" ref="B68">IF(ROW()-ROW($B$7)&lt;=duration,ROW()-ROW($B$7),"")</f>
        <v>61</v>
      </c>
      <c r="C68" s="4">
        <f t="shared" si="5"/>
        <v>47396</v>
      </c>
      <c r="D68" s="6">
        <f t="shared" si="3"/>
        <v>665.8018482881505</v>
      </c>
      <c r="E68" s="6">
        <f t="shared" si="0"/>
        <v>487.47528981812508</v>
      </c>
      <c r="F68" s="5">
        <f t="shared" si="1"/>
        <v>1153.2771381062755</v>
      </c>
      <c r="G68" s="6">
        <f t="shared" si="2"/>
        <v>56.88</v>
      </c>
      <c r="H68" s="5">
        <f t="shared" si="4"/>
        <v>1210.1571381062756</v>
      </c>
      <c r="I68" s="3" t="str">
        <f t="shared" si="7"/>
        <v>Unpaid</v>
      </c>
      <c r="J68" s="6">
        <f t="shared" si="6"/>
        <v>244136.17839313796</v>
      </c>
    </row>
    <row r="69" spans="2:10">
      <c r="B69" s="3" cm="1">
        <f t="array" ref="B69">IF(ROW()-ROW($B$7)&lt;=duration,ROW()-ROW($B$7),"")</f>
        <v>62</v>
      </c>
      <c r="C69" s="4">
        <f t="shared" si="5"/>
        <v>47427</v>
      </c>
      <c r="D69" s="6">
        <f t="shared" si="3"/>
        <v>667.32764419047749</v>
      </c>
      <c r="E69" s="6">
        <f t="shared" si="0"/>
        <v>485.94949391579797</v>
      </c>
      <c r="F69" s="5">
        <f t="shared" si="1"/>
        <v>1153.2771381062755</v>
      </c>
      <c r="G69" s="6">
        <f t="shared" si="2"/>
        <v>56.88</v>
      </c>
      <c r="H69" s="5">
        <f t="shared" si="4"/>
        <v>1210.1571381062756</v>
      </c>
      <c r="I69" s="3" t="str">
        <f t="shared" si="7"/>
        <v>Unpaid</v>
      </c>
      <c r="J69" s="6">
        <f t="shared" si="6"/>
        <v>244136.17839313796</v>
      </c>
    </row>
    <row r="70" spans="2:10">
      <c r="B70" s="3" cm="1">
        <f t="array" ref="B70">IF(ROW()-ROW($B$7)&lt;=duration,ROW()-ROW($B$7),"")</f>
        <v>63</v>
      </c>
      <c r="C70" s="4">
        <f t="shared" si="5"/>
        <v>47457</v>
      </c>
      <c r="D70" s="6">
        <f t="shared" si="3"/>
        <v>668.85693670841397</v>
      </c>
      <c r="E70" s="6">
        <f t="shared" si="0"/>
        <v>484.42020139786155</v>
      </c>
      <c r="F70" s="5">
        <f t="shared" si="1"/>
        <v>1153.2771381062755</v>
      </c>
      <c r="G70" s="6">
        <f t="shared" si="2"/>
        <v>56.88</v>
      </c>
      <c r="H70" s="5">
        <f t="shared" si="4"/>
        <v>1210.1571381062756</v>
      </c>
      <c r="I70" s="3" t="str">
        <f t="shared" si="7"/>
        <v>Unpaid</v>
      </c>
      <c r="J70" s="6">
        <f t="shared" si="6"/>
        <v>244136.17839313796</v>
      </c>
    </row>
    <row r="71" spans="2:10">
      <c r="B71" s="3" cm="1">
        <f t="array" ref="B71">IF(ROW()-ROW($B$7)&lt;=duration,ROW()-ROW($B$7),"")</f>
        <v>64</v>
      </c>
      <c r="C71" s="4">
        <f t="shared" si="5"/>
        <v>47488</v>
      </c>
      <c r="D71" s="6">
        <f t="shared" si="3"/>
        <v>670.38973385503743</v>
      </c>
      <c r="E71" s="6">
        <f t="shared" si="0"/>
        <v>482.88740425123808</v>
      </c>
      <c r="F71" s="5">
        <f t="shared" si="1"/>
        <v>1153.2771381062755</v>
      </c>
      <c r="G71" s="6">
        <f t="shared" si="2"/>
        <v>56.88</v>
      </c>
      <c r="H71" s="5">
        <f t="shared" si="4"/>
        <v>1210.1571381062756</v>
      </c>
      <c r="I71" s="3" t="str">
        <f t="shared" si="7"/>
        <v>Unpaid</v>
      </c>
      <c r="J71" s="6">
        <f t="shared" si="6"/>
        <v>244136.17839313796</v>
      </c>
    </row>
    <row r="72" spans="2:10">
      <c r="B72" s="3" cm="1">
        <f t="array" ref="B72">IF(ROW()-ROW($B$7)&lt;=duration,ROW()-ROW($B$7),"")</f>
        <v>65</v>
      </c>
      <c r="C72" s="4">
        <f t="shared" si="5"/>
        <v>47519</v>
      </c>
      <c r="D72" s="6">
        <f t="shared" ref="D72:D135" si="8">IF(B72="","",F72-E72)</f>
        <v>671.92604366178853</v>
      </c>
      <c r="E72" s="6">
        <f t="shared" ref="E72:E135" si="9">IF(B72="","",IPMT(_xlfn.SINGLE(loanInterestRate)/12,B72,duration,-_xlfn.SINGLE(principle)))</f>
        <v>481.35109444448699</v>
      </c>
      <c r="F72" s="5">
        <f t="shared" ref="F72:F135" si="10">IF(B72="", "", EMI)</f>
        <v>1153.2771381062755</v>
      </c>
      <c r="G72" s="6">
        <f t="shared" ref="G72:G135" si="11">IF(B72="","",insurancePerMonth)</f>
        <v>56.88</v>
      </c>
      <c r="H72" s="5">
        <f t="shared" ref="H72:H135" si="12">IF(B72="","",F72+G72)</f>
        <v>1210.1571381062756</v>
      </c>
      <c r="I72" s="3" t="str">
        <f t="shared" si="7"/>
        <v>Unpaid</v>
      </c>
      <c r="J72" s="6">
        <f t="shared" si="6"/>
        <v>244136.17839313796</v>
      </c>
    </row>
    <row r="73" spans="2:10">
      <c r="B73" s="3" cm="1">
        <f t="array" ref="B73">IF(ROW()-ROW($B$7)&lt;=duration,ROW()-ROW($B$7),"")</f>
        <v>66</v>
      </c>
      <c r="C73" s="4">
        <f t="shared" si="5"/>
        <v>47547</v>
      </c>
      <c r="D73" s="6">
        <f t="shared" si="8"/>
        <v>673.46587417851345</v>
      </c>
      <c r="E73" s="6">
        <f t="shared" si="9"/>
        <v>479.81126392776207</v>
      </c>
      <c r="F73" s="5">
        <f t="shared" si="10"/>
        <v>1153.2771381062755</v>
      </c>
      <c r="G73" s="6">
        <f t="shared" si="11"/>
        <v>56.88</v>
      </c>
      <c r="H73" s="5">
        <f t="shared" si="12"/>
        <v>1210.1571381062756</v>
      </c>
      <c r="I73" s="3" t="str">
        <f t="shared" si="7"/>
        <v>Unpaid</v>
      </c>
      <c r="J73" s="6">
        <f t="shared" si="6"/>
        <v>244136.17839313796</v>
      </c>
    </row>
    <row r="74" spans="2:10">
      <c r="B74" s="3" cm="1">
        <f t="array" ref="B74">IF(ROW()-ROW($B$7)&lt;=duration,ROW()-ROW($B$7),"")</f>
        <v>67</v>
      </c>
      <c r="C74" s="4">
        <f t="shared" ref="C74:C137" si="13">IF(B74="","",EOMONTH(C73,0)+5)</f>
        <v>47578</v>
      </c>
      <c r="D74" s="6">
        <f t="shared" si="8"/>
        <v>675.0092334735059</v>
      </c>
      <c r="E74" s="6">
        <f t="shared" si="9"/>
        <v>478.26790463276956</v>
      </c>
      <c r="F74" s="5">
        <f t="shared" si="10"/>
        <v>1153.2771381062755</v>
      </c>
      <c r="G74" s="6">
        <f t="shared" si="11"/>
        <v>56.88</v>
      </c>
      <c r="H74" s="5">
        <f t="shared" si="12"/>
        <v>1210.1571381062756</v>
      </c>
      <c r="I74" s="3" t="str">
        <f t="shared" ref="I74:I137" si="14">IF(B74="","","Unpaid")</f>
        <v>Unpaid</v>
      </c>
      <c r="J74" s="6">
        <f t="shared" ref="J74:J137" si="15">IF(B74="","",IF(I74="Unpaid",J73,J73-D74))</f>
        <v>244136.17839313796</v>
      </c>
    </row>
    <row r="75" spans="2:10">
      <c r="B75" s="3" cm="1">
        <f t="array" ref="B75">IF(ROW()-ROW($B$7)&lt;=duration,ROW()-ROW($B$7),"")</f>
        <v>68</v>
      </c>
      <c r="C75" s="4">
        <f t="shared" si="13"/>
        <v>47608</v>
      </c>
      <c r="D75" s="6">
        <f t="shared" si="8"/>
        <v>676.5561296335494</v>
      </c>
      <c r="E75" s="6">
        <f t="shared" si="9"/>
        <v>476.72100847272611</v>
      </c>
      <c r="F75" s="5">
        <f t="shared" si="10"/>
        <v>1153.2771381062755</v>
      </c>
      <c r="G75" s="6">
        <f t="shared" si="11"/>
        <v>56.88</v>
      </c>
      <c r="H75" s="5">
        <f t="shared" si="12"/>
        <v>1210.1571381062756</v>
      </c>
      <c r="I75" s="3" t="str">
        <f t="shared" si="14"/>
        <v>Unpaid</v>
      </c>
      <c r="J75" s="6">
        <f t="shared" si="15"/>
        <v>244136.17839313796</v>
      </c>
    </row>
    <row r="76" spans="2:10">
      <c r="B76" s="3" cm="1">
        <f t="array" ref="B76">IF(ROW()-ROW($B$7)&lt;=duration,ROW()-ROW($B$7),"")</f>
        <v>69</v>
      </c>
      <c r="C76" s="4">
        <f t="shared" si="13"/>
        <v>47639</v>
      </c>
      <c r="D76" s="6">
        <f t="shared" si="8"/>
        <v>678.10657076395955</v>
      </c>
      <c r="E76" s="6">
        <f t="shared" si="9"/>
        <v>475.17056734231602</v>
      </c>
      <c r="F76" s="5">
        <f t="shared" si="10"/>
        <v>1153.2771381062755</v>
      </c>
      <c r="G76" s="6">
        <f t="shared" si="11"/>
        <v>56.88</v>
      </c>
      <c r="H76" s="5">
        <f t="shared" si="12"/>
        <v>1210.1571381062756</v>
      </c>
      <c r="I76" s="3" t="str">
        <f t="shared" si="14"/>
        <v>Unpaid</v>
      </c>
      <c r="J76" s="6">
        <f t="shared" si="15"/>
        <v>244136.17839313796</v>
      </c>
    </row>
    <row r="77" spans="2:10">
      <c r="B77" s="3" cm="1">
        <f t="array" ref="B77">IF(ROW()-ROW($B$7)&lt;=duration,ROW()-ROW($B$7),"")</f>
        <v>70</v>
      </c>
      <c r="C77" s="4">
        <f t="shared" si="13"/>
        <v>47669</v>
      </c>
      <c r="D77" s="6">
        <f t="shared" si="8"/>
        <v>679.6605649886269</v>
      </c>
      <c r="E77" s="6">
        <f t="shared" si="9"/>
        <v>473.61657311764861</v>
      </c>
      <c r="F77" s="5">
        <f t="shared" si="10"/>
        <v>1153.2771381062755</v>
      </c>
      <c r="G77" s="6">
        <f t="shared" si="11"/>
        <v>56.88</v>
      </c>
      <c r="H77" s="5">
        <f t="shared" si="12"/>
        <v>1210.1571381062756</v>
      </c>
      <c r="I77" s="3" t="str">
        <f t="shared" si="14"/>
        <v>Unpaid</v>
      </c>
      <c r="J77" s="6">
        <f t="shared" si="15"/>
        <v>244136.17839313796</v>
      </c>
    </row>
    <row r="78" spans="2:10">
      <c r="B78" s="3" cm="1">
        <f t="array" ref="B78">IF(ROW()-ROW($B$7)&lt;=duration,ROW()-ROW($B$7),"")</f>
        <v>71</v>
      </c>
      <c r="C78" s="4">
        <f t="shared" si="13"/>
        <v>47700</v>
      </c>
      <c r="D78" s="6">
        <f t="shared" si="8"/>
        <v>681.21812045005925</v>
      </c>
      <c r="E78" s="6">
        <f t="shared" si="9"/>
        <v>472.05901765621627</v>
      </c>
      <c r="F78" s="5">
        <f t="shared" si="10"/>
        <v>1153.2771381062755</v>
      </c>
      <c r="G78" s="6">
        <f t="shared" si="11"/>
        <v>56.88</v>
      </c>
      <c r="H78" s="5">
        <f t="shared" si="12"/>
        <v>1210.1571381062756</v>
      </c>
      <c r="I78" s="3" t="str">
        <f t="shared" si="14"/>
        <v>Unpaid</v>
      </c>
      <c r="J78" s="6">
        <f t="shared" si="15"/>
        <v>244136.17839313796</v>
      </c>
    </row>
    <row r="79" spans="2:10">
      <c r="B79" s="3" cm="1">
        <f t="array" ref="B79">IF(ROW()-ROW($B$7)&lt;=duration,ROW()-ROW($B$7),"")</f>
        <v>72</v>
      </c>
      <c r="C79" s="4">
        <f t="shared" si="13"/>
        <v>47731</v>
      </c>
      <c r="D79" s="6">
        <f t="shared" si="8"/>
        <v>682.77924530942403</v>
      </c>
      <c r="E79" s="6">
        <f t="shared" si="9"/>
        <v>470.49789279685149</v>
      </c>
      <c r="F79" s="5">
        <f t="shared" si="10"/>
        <v>1153.2771381062755</v>
      </c>
      <c r="G79" s="6">
        <f t="shared" si="11"/>
        <v>56.88</v>
      </c>
      <c r="H79" s="5">
        <f t="shared" si="12"/>
        <v>1210.1571381062756</v>
      </c>
      <c r="I79" s="3" t="str">
        <f t="shared" si="14"/>
        <v>Unpaid</v>
      </c>
      <c r="J79" s="6">
        <f t="shared" si="15"/>
        <v>244136.17839313796</v>
      </c>
    </row>
    <row r="80" spans="2:10">
      <c r="B80" s="3" cm="1">
        <f t="array" ref="B80">IF(ROW()-ROW($B$7)&lt;=duration,ROW()-ROW($B$7),"")</f>
        <v>73</v>
      </c>
      <c r="C80" s="4">
        <f t="shared" si="13"/>
        <v>47761</v>
      </c>
      <c r="D80" s="6">
        <f t="shared" si="8"/>
        <v>684.34394774659131</v>
      </c>
      <c r="E80" s="6">
        <f t="shared" si="9"/>
        <v>468.93319035968415</v>
      </c>
      <c r="F80" s="5">
        <f t="shared" si="10"/>
        <v>1153.2771381062755</v>
      </c>
      <c r="G80" s="6">
        <f t="shared" si="11"/>
        <v>56.88</v>
      </c>
      <c r="H80" s="5">
        <f t="shared" si="12"/>
        <v>1210.1571381062756</v>
      </c>
      <c r="I80" s="3" t="str">
        <f t="shared" si="14"/>
        <v>Unpaid</v>
      </c>
      <c r="J80" s="6">
        <f t="shared" si="15"/>
        <v>244136.17839313796</v>
      </c>
    </row>
    <row r="81" spans="2:10">
      <c r="B81" s="3" cm="1">
        <f t="array" ref="B81">IF(ROW()-ROW($B$7)&lt;=duration,ROW()-ROW($B$7),"")</f>
        <v>74</v>
      </c>
      <c r="C81" s="4">
        <f t="shared" si="13"/>
        <v>47792</v>
      </c>
      <c r="D81" s="6">
        <f t="shared" si="8"/>
        <v>685.91223596017744</v>
      </c>
      <c r="E81" s="6">
        <f t="shared" si="9"/>
        <v>467.36490214609807</v>
      </c>
      <c r="F81" s="5">
        <f t="shared" si="10"/>
        <v>1153.2771381062755</v>
      </c>
      <c r="G81" s="6">
        <f t="shared" si="11"/>
        <v>56.88</v>
      </c>
      <c r="H81" s="5">
        <f t="shared" si="12"/>
        <v>1210.1571381062756</v>
      </c>
      <c r="I81" s="3" t="str">
        <f t="shared" si="14"/>
        <v>Unpaid</v>
      </c>
      <c r="J81" s="6">
        <f t="shared" si="15"/>
        <v>244136.17839313796</v>
      </c>
    </row>
    <row r="82" spans="2:10">
      <c r="B82" s="3" cm="1">
        <f t="array" ref="B82">IF(ROW()-ROW($B$7)&lt;=duration,ROW()-ROW($B$7),"")</f>
        <v>75</v>
      </c>
      <c r="C82" s="4">
        <f t="shared" si="13"/>
        <v>47822</v>
      </c>
      <c r="D82" s="6">
        <f t="shared" si="8"/>
        <v>687.48411816758608</v>
      </c>
      <c r="E82" s="6">
        <f t="shared" si="9"/>
        <v>465.79301993868938</v>
      </c>
      <c r="F82" s="5">
        <f t="shared" si="10"/>
        <v>1153.2771381062755</v>
      </c>
      <c r="G82" s="6">
        <f t="shared" si="11"/>
        <v>56.88</v>
      </c>
      <c r="H82" s="5">
        <f t="shared" si="12"/>
        <v>1210.1571381062756</v>
      </c>
      <c r="I82" s="3" t="str">
        <f t="shared" si="14"/>
        <v>Unpaid</v>
      </c>
      <c r="J82" s="6">
        <f t="shared" si="15"/>
        <v>244136.17839313796</v>
      </c>
    </row>
    <row r="83" spans="2:10">
      <c r="B83" s="3" cm="1">
        <f t="array" ref="B83">IF(ROW()-ROW($B$7)&lt;=duration,ROW()-ROW($B$7),"")</f>
        <v>76</v>
      </c>
      <c r="C83" s="4">
        <f t="shared" si="13"/>
        <v>47853</v>
      </c>
      <c r="D83" s="6">
        <f t="shared" si="8"/>
        <v>689.05960260505344</v>
      </c>
      <c r="E83" s="6">
        <f t="shared" si="9"/>
        <v>464.21753550122202</v>
      </c>
      <c r="F83" s="5">
        <f t="shared" si="10"/>
        <v>1153.2771381062755</v>
      </c>
      <c r="G83" s="6">
        <f t="shared" si="11"/>
        <v>56.88</v>
      </c>
      <c r="H83" s="5">
        <f t="shared" si="12"/>
        <v>1210.1571381062756</v>
      </c>
      <c r="I83" s="3" t="str">
        <f t="shared" si="14"/>
        <v>Unpaid</v>
      </c>
      <c r="J83" s="6">
        <f t="shared" si="15"/>
        <v>244136.17839313796</v>
      </c>
    </row>
    <row r="84" spans="2:10">
      <c r="B84" s="3" cm="1">
        <f t="array" ref="B84">IF(ROW()-ROW($B$7)&lt;=duration,ROW()-ROW($B$7),"")</f>
        <v>77</v>
      </c>
      <c r="C84" s="4">
        <f t="shared" si="13"/>
        <v>47884</v>
      </c>
      <c r="D84" s="6">
        <f t="shared" si="8"/>
        <v>690.63869752769017</v>
      </c>
      <c r="E84" s="6">
        <f t="shared" si="9"/>
        <v>462.63844057858535</v>
      </c>
      <c r="F84" s="5">
        <f t="shared" si="10"/>
        <v>1153.2771381062755</v>
      </c>
      <c r="G84" s="6">
        <f t="shared" si="11"/>
        <v>56.88</v>
      </c>
      <c r="H84" s="5">
        <f t="shared" si="12"/>
        <v>1210.1571381062756</v>
      </c>
      <c r="I84" s="3" t="str">
        <f t="shared" si="14"/>
        <v>Unpaid</v>
      </c>
      <c r="J84" s="6">
        <f t="shared" si="15"/>
        <v>244136.17839313796</v>
      </c>
    </row>
    <row r="85" spans="2:10">
      <c r="B85" s="3" cm="1">
        <f t="array" ref="B85">IF(ROW()-ROW($B$7)&lt;=duration,ROW()-ROW($B$7),"")</f>
        <v>78</v>
      </c>
      <c r="C85" s="4">
        <f t="shared" si="13"/>
        <v>47912</v>
      </c>
      <c r="D85" s="6">
        <f t="shared" si="8"/>
        <v>692.22141120952438</v>
      </c>
      <c r="E85" s="6">
        <f t="shared" si="9"/>
        <v>461.0557268967512</v>
      </c>
      <c r="F85" s="5">
        <f t="shared" si="10"/>
        <v>1153.2771381062755</v>
      </c>
      <c r="G85" s="6">
        <f t="shared" si="11"/>
        <v>56.88</v>
      </c>
      <c r="H85" s="5">
        <f t="shared" si="12"/>
        <v>1210.1571381062756</v>
      </c>
      <c r="I85" s="3" t="str">
        <f t="shared" si="14"/>
        <v>Unpaid</v>
      </c>
      <c r="J85" s="6">
        <f t="shared" si="15"/>
        <v>244136.17839313796</v>
      </c>
    </row>
    <row r="86" spans="2:10">
      <c r="B86" s="3" cm="1">
        <f t="array" ref="B86">IF(ROW()-ROW($B$7)&lt;=duration,ROW()-ROW($B$7),"")</f>
        <v>79</v>
      </c>
      <c r="C86" s="4">
        <f t="shared" si="13"/>
        <v>47943</v>
      </c>
      <c r="D86" s="6">
        <f t="shared" si="8"/>
        <v>693.80775194354624</v>
      </c>
      <c r="E86" s="6">
        <f t="shared" si="9"/>
        <v>459.46938616272928</v>
      </c>
      <c r="F86" s="5">
        <f t="shared" si="10"/>
        <v>1153.2771381062755</v>
      </c>
      <c r="G86" s="6">
        <f t="shared" si="11"/>
        <v>56.88</v>
      </c>
      <c r="H86" s="5">
        <f t="shared" si="12"/>
        <v>1210.1571381062756</v>
      </c>
      <c r="I86" s="3" t="str">
        <f t="shared" si="14"/>
        <v>Unpaid</v>
      </c>
      <c r="J86" s="6">
        <f t="shared" si="15"/>
        <v>244136.17839313796</v>
      </c>
    </row>
    <row r="87" spans="2:10">
      <c r="B87" s="3" cm="1">
        <f t="array" ref="B87">IF(ROW()-ROW($B$7)&lt;=duration,ROW()-ROW($B$7),"")</f>
        <v>80</v>
      </c>
      <c r="C87" s="4">
        <f t="shared" si="13"/>
        <v>47973</v>
      </c>
      <c r="D87" s="6">
        <f t="shared" si="8"/>
        <v>695.39772804175004</v>
      </c>
      <c r="E87" s="6">
        <f t="shared" si="9"/>
        <v>457.87941006452542</v>
      </c>
      <c r="F87" s="5">
        <f t="shared" si="10"/>
        <v>1153.2771381062755</v>
      </c>
      <c r="G87" s="6">
        <f t="shared" si="11"/>
        <v>56.88</v>
      </c>
      <c r="H87" s="5">
        <f t="shared" si="12"/>
        <v>1210.1571381062756</v>
      </c>
      <c r="I87" s="3" t="str">
        <f t="shared" si="14"/>
        <v>Unpaid</v>
      </c>
      <c r="J87" s="6">
        <f t="shared" si="15"/>
        <v>244136.17839313796</v>
      </c>
    </row>
    <row r="88" spans="2:10">
      <c r="B88" s="3" cm="1">
        <f t="array" ref="B88">IF(ROW()-ROW($B$7)&lt;=duration,ROW()-ROW($B$7),"")</f>
        <v>81</v>
      </c>
      <c r="C88" s="4">
        <f t="shared" si="13"/>
        <v>48004</v>
      </c>
      <c r="D88" s="6">
        <f t="shared" si="8"/>
        <v>696.99134783517911</v>
      </c>
      <c r="E88" s="6">
        <f t="shared" si="9"/>
        <v>456.2857902710964</v>
      </c>
      <c r="F88" s="5">
        <f t="shared" si="10"/>
        <v>1153.2771381062755</v>
      </c>
      <c r="G88" s="6">
        <f t="shared" si="11"/>
        <v>56.88</v>
      </c>
      <c r="H88" s="5">
        <f t="shared" si="12"/>
        <v>1210.1571381062756</v>
      </c>
      <c r="I88" s="3" t="str">
        <f t="shared" si="14"/>
        <v>Unpaid</v>
      </c>
      <c r="J88" s="6">
        <f t="shared" si="15"/>
        <v>244136.17839313796</v>
      </c>
    </row>
    <row r="89" spans="2:10">
      <c r="B89" s="3" cm="1">
        <f t="array" ref="B89">IF(ROW()-ROW($B$7)&lt;=duration,ROW()-ROW($B$7),"")</f>
        <v>82</v>
      </c>
      <c r="C89" s="4">
        <f t="shared" si="13"/>
        <v>48034</v>
      </c>
      <c r="D89" s="6">
        <f t="shared" si="8"/>
        <v>698.5886196739682</v>
      </c>
      <c r="E89" s="6">
        <f t="shared" si="9"/>
        <v>454.68851843230738</v>
      </c>
      <c r="F89" s="5">
        <f t="shared" si="10"/>
        <v>1153.2771381062755</v>
      </c>
      <c r="G89" s="6">
        <f t="shared" si="11"/>
        <v>56.88</v>
      </c>
      <c r="H89" s="5">
        <f t="shared" si="12"/>
        <v>1210.1571381062756</v>
      </c>
      <c r="I89" s="3" t="str">
        <f t="shared" si="14"/>
        <v>Unpaid</v>
      </c>
      <c r="J89" s="6">
        <f t="shared" si="15"/>
        <v>244136.17839313796</v>
      </c>
    </row>
    <row r="90" spans="2:10">
      <c r="B90" s="3" cm="1">
        <f t="array" ref="B90">IF(ROW()-ROW($B$7)&lt;=duration,ROW()-ROW($B$7),"")</f>
        <v>83</v>
      </c>
      <c r="C90" s="4">
        <f t="shared" si="13"/>
        <v>48065</v>
      </c>
      <c r="D90" s="6">
        <f t="shared" si="8"/>
        <v>700.1895519273877</v>
      </c>
      <c r="E90" s="6">
        <f t="shared" si="9"/>
        <v>453.08758617888782</v>
      </c>
      <c r="F90" s="5">
        <f t="shared" si="10"/>
        <v>1153.2771381062755</v>
      </c>
      <c r="G90" s="6">
        <f t="shared" si="11"/>
        <v>56.88</v>
      </c>
      <c r="H90" s="5">
        <f t="shared" si="12"/>
        <v>1210.1571381062756</v>
      </c>
      <c r="I90" s="3" t="str">
        <f t="shared" si="14"/>
        <v>Unpaid</v>
      </c>
      <c r="J90" s="6">
        <f t="shared" si="15"/>
        <v>244136.17839313796</v>
      </c>
    </row>
    <row r="91" spans="2:10">
      <c r="B91" s="3" cm="1">
        <f t="array" ref="B91">IF(ROW()-ROW($B$7)&lt;=duration,ROW()-ROW($B$7),"")</f>
        <v>84</v>
      </c>
      <c r="C91" s="4">
        <f t="shared" si="13"/>
        <v>48096</v>
      </c>
      <c r="D91" s="6">
        <f t="shared" si="8"/>
        <v>701.7941529838879</v>
      </c>
      <c r="E91" s="6">
        <f t="shared" si="9"/>
        <v>451.48298512238767</v>
      </c>
      <c r="F91" s="5">
        <f t="shared" si="10"/>
        <v>1153.2771381062755</v>
      </c>
      <c r="G91" s="6">
        <f t="shared" si="11"/>
        <v>56.88</v>
      </c>
      <c r="H91" s="5">
        <f t="shared" si="12"/>
        <v>1210.1571381062756</v>
      </c>
      <c r="I91" s="3" t="str">
        <f t="shared" si="14"/>
        <v>Unpaid</v>
      </c>
      <c r="J91" s="6">
        <f t="shared" si="15"/>
        <v>244136.17839313796</v>
      </c>
    </row>
    <row r="92" spans="2:10">
      <c r="B92" s="3" cm="1">
        <f t="array" ref="B92">IF(ROW()-ROW($B$7)&lt;=duration,ROW()-ROW($B$7),"")</f>
        <v>85</v>
      </c>
      <c r="C92" s="4">
        <f t="shared" si="13"/>
        <v>48126</v>
      </c>
      <c r="D92" s="6">
        <f t="shared" si="8"/>
        <v>703.40243125114262</v>
      </c>
      <c r="E92" s="6">
        <f t="shared" si="9"/>
        <v>449.8747068551329</v>
      </c>
      <c r="F92" s="5">
        <f t="shared" si="10"/>
        <v>1153.2771381062755</v>
      </c>
      <c r="G92" s="6">
        <f t="shared" si="11"/>
        <v>56.88</v>
      </c>
      <c r="H92" s="5">
        <f t="shared" si="12"/>
        <v>1210.1571381062756</v>
      </c>
      <c r="I92" s="3" t="str">
        <f t="shared" si="14"/>
        <v>Unpaid</v>
      </c>
      <c r="J92" s="6">
        <f t="shared" si="15"/>
        <v>244136.17839313796</v>
      </c>
    </row>
    <row r="93" spans="2:10">
      <c r="B93" s="3" cm="1">
        <f t="array" ref="B93">IF(ROW()-ROW($B$7)&lt;=duration,ROW()-ROW($B$7),"")</f>
        <v>86</v>
      </c>
      <c r="C93" s="4">
        <f t="shared" si="13"/>
        <v>48157</v>
      </c>
      <c r="D93" s="6">
        <f t="shared" si="8"/>
        <v>705.01439515609309</v>
      </c>
      <c r="E93" s="6">
        <f t="shared" si="9"/>
        <v>448.26274295018237</v>
      </c>
      <c r="F93" s="5">
        <f t="shared" si="10"/>
        <v>1153.2771381062755</v>
      </c>
      <c r="G93" s="6">
        <f t="shared" si="11"/>
        <v>56.88</v>
      </c>
      <c r="H93" s="5">
        <f t="shared" si="12"/>
        <v>1210.1571381062756</v>
      </c>
      <c r="I93" s="3" t="str">
        <f t="shared" si="14"/>
        <v>Unpaid</v>
      </c>
      <c r="J93" s="6">
        <f t="shared" si="15"/>
        <v>244136.17839313796</v>
      </c>
    </row>
    <row r="94" spans="2:10">
      <c r="B94" s="3" cm="1">
        <f t="array" ref="B94">IF(ROW()-ROW($B$7)&lt;=duration,ROW()-ROW($B$7),"")</f>
        <v>87</v>
      </c>
      <c r="C94" s="4">
        <f t="shared" si="13"/>
        <v>48187</v>
      </c>
      <c r="D94" s="6">
        <f t="shared" si="8"/>
        <v>706.63005314499253</v>
      </c>
      <c r="E94" s="6">
        <f t="shared" si="9"/>
        <v>446.64708496128299</v>
      </c>
      <c r="F94" s="5">
        <f t="shared" si="10"/>
        <v>1153.2771381062755</v>
      </c>
      <c r="G94" s="6">
        <f t="shared" si="11"/>
        <v>56.88</v>
      </c>
      <c r="H94" s="5">
        <f t="shared" si="12"/>
        <v>1210.1571381062756</v>
      </c>
      <c r="I94" s="3" t="str">
        <f t="shared" si="14"/>
        <v>Unpaid</v>
      </c>
      <c r="J94" s="6">
        <f t="shared" si="15"/>
        <v>244136.17839313796</v>
      </c>
    </row>
    <row r="95" spans="2:10">
      <c r="B95" s="3" cm="1">
        <f t="array" ref="B95">IF(ROW()-ROW($B$7)&lt;=duration,ROW()-ROW($B$7),"")</f>
        <v>88</v>
      </c>
      <c r="C95" s="4">
        <f t="shared" si="13"/>
        <v>48218</v>
      </c>
      <c r="D95" s="6">
        <f t="shared" si="8"/>
        <v>708.2494136834498</v>
      </c>
      <c r="E95" s="6">
        <f t="shared" si="9"/>
        <v>445.02772442282566</v>
      </c>
      <c r="F95" s="5">
        <f t="shared" si="10"/>
        <v>1153.2771381062755</v>
      </c>
      <c r="G95" s="6">
        <f t="shared" si="11"/>
        <v>56.88</v>
      </c>
      <c r="H95" s="5">
        <f t="shared" si="12"/>
        <v>1210.1571381062756</v>
      </c>
      <c r="I95" s="3" t="str">
        <f t="shared" si="14"/>
        <v>Unpaid</v>
      </c>
      <c r="J95" s="6">
        <f t="shared" si="15"/>
        <v>244136.17839313796</v>
      </c>
    </row>
    <row r="96" spans="2:10">
      <c r="B96" s="3" cm="1">
        <f t="array" ref="B96">IF(ROW()-ROW($B$7)&lt;=duration,ROW()-ROW($B$7),"")</f>
        <v>89</v>
      </c>
      <c r="C96" s="4">
        <f t="shared" si="13"/>
        <v>48249</v>
      </c>
      <c r="D96" s="6">
        <f t="shared" si="8"/>
        <v>709.87248525647442</v>
      </c>
      <c r="E96" s="6">
        <f t="shared" si="9"/>
        <v>443.40465284980115</v>
      </c>
      <c r="F96" s="5">
        <f t="shared" si="10"/>
        <v>1153.2771381062755</v>
      </c>
      <c r="G96" s="6">
        <f t="shared" si="11"/>
        <v>56.88</v>
      </c>
      <c r="H96" s="5">
        <f t="shared" si="12"/>
        <v>1210.1571381062756</v>
      </c>
      <c r="I96" s="3" t="str">
        <f t="shared" si="14"/>
        <v>Unpaid</v>
      </c>
      <c r="J96" s="6">
        <f t="shared" si="15"/>
        <v>244136.17839313796</v>
      </c>
    </row>
    <row r="97" spans="2:10">
      <c r="B97" s="3" cm="1">
        <f t="array" ref="B97">IF(ROW()-ROW($B$7)&lt;=duration,ROW()-ROW($B$7),"")</f>
        <v>90</v>
      </c>
      <c r="C97" s="4">
        <f t="shared" si="13"/>
        <v>48278</v>
      </c>
      <c r="D97" s="6">
        <f t="shared" si="8"/>
        <v>711.49927636852044</v>
      </c>
      <c r="E97" s="6">
        <f t="shared" si="9"/>
        <v>441.77786173775502</v>
      </c>
      <c r="F97" s="5">
        <f t="shared" si="10"/>
        <v>1153.2771381062755</v>
      </c>
      <c r="G97" s="6">
        <f t="shared" si="11"/>
        <v>56.88</v>
      </c>
      <c r="H97" s="5">
        <f t="shared" si="12"/>
        <v>1210.1571381062756</v>
      </c>
      <c r="I97" s="3" t="str">
        <f t="shared" si="14"/>
        <v>Unpaid</v>
      </c>
      <c r="J97" s="6">
        <f t="shared" si="15"/>
        <v>244136.17839313796</v>
      </c>
    </row>
    <row r="98" spans="2:10">
      <c r="B98" s="3" cm="1">
        <f t="array" ref="B98">IF(ROW()-ROW($B$7)&lt;=duration,ROW()-ROW($B$7),"")</f>
        <v>91</v>
      </c>
      <c r="C98" s="4">
        <f t="shared" si="13"/>
        <v>48309</v>
      </c>
      <c r="D98" s="6">
        <f t="shared" si="8"/>
        <v>713.1297955435316</v>
      </c>
      <c r="E98" s="6">
        <f t="shared" si="9"/>
        <v>440.14734256274386</v>
      </c>
      <c r="F98" s="5">
        <f t="shared" si="10"/>
        <v>1153.2771381062755</v>
      </c>
      <c r="G98" s="6">
        <f t="shared" si="11"/>
        <v>56.88</v>
      </c>
      <c r="H98" s="5">
        <f t="shared" si="12"/>
        <v>1210.1571381062756</v>
      </c>
      <c r="I98" s="3" t="str">
        <f t="shared" si="14"/>
        <v>Unpaid</v>
      </c>
      <c r="J98" s="6">
        <f t="shared" si="15"/>
        <v>244136.17839313796</v>
      </c>
    </row>
    <row r="99" spans="2:10">
      <c r="B99" s="3" cm="1">
        <f t="array" ref="B99">IF(ROW()-ROW($B$7)&lt;=duration,ROW()-ROW($B$7),"")</f>
        <v>92</v>
      </c>
      <c r="C99" s="4">
        <f t="shared" si="13"/>
        <v>48339</v>
      </c>
      <c r="D99" s="6">
        <f t="shared" si="8"/>
        <v>714.76405132498553</v>
      </c>
      <c r="E99" s="6">
        <f t="shared" si="9"/>
        <v>438.51308678128993</v>
      </c>
      <c r="F99" s="5">
        <f t="shared" si="10"/>
        <v>1153.2771381062755</v>
      </c>
      <c r="G99" s="6">
        <f t="shared" si="11"/>
        <v>56.88</v>
      </c>
      <c r="H99" s="5">
        <f t="shared" si="12"/>
        <v>1210.1571381062756</v>
      </c>
      <c r="I99" s="3" t="str">
        <f t="shared" si="14"/>
        <v>Unpaid</v>
      </c>
      <c r="J99" s="6">
        <f t="shared" si="15"/>
        <v>244136.17839313796</v>
      </c>
    </row>
    <row r="100" spans="2:10">
      <c r="B100" s="3" cm="1">
        <f t="array" ref="B100">IF(ROW()-ROW($B$7)&lt;=duration,ROW()-ROW($B$7),"")</f>
        <v>93</v>
      </c>
      <c r="C100" s="4">
        <f t="shared" si="13"/>
        <v>48370</v>
      </c>
      <c r="D100" s="6">
        <f t="shared" si="8"/>
        <v>716.40205227593879</v>
      </c>
      <c r="E100" s="6">
        <f t="shared" si="9"/>
        <v>436.87508583033679</v>
      </c>
      <c r="F100" s="5">
        <f t="shared" si="10"/>
        <v>1153.2771381062755</v>
      </c>
      <c r="G100" s="6">
        <f t="shared" si="11"/>
        <v>56.88</v>
      </c>
      <c r="H100" s="5">
        <f t="shared" si="12"/>
        <v>1210.1571381062756</v>
      </c>
      <c r="I100" s="3" t="str">
        <f t="shared" si="14"/>
        <v>Unpaid</v>
      </c>
      <c r="J100" s="6">
        <f t="shared" si="15"/>
        <v>244136.17839313796</v>
      </c>
    </row>
    <row r="101" spans="2:10">
      <c r="B101" s="3" cm="1">
        <f t="array" ref="B101">IF(ROW()-ROW($B$7)&lt;=duration,ROW()-ROW($B$7),"")</f>
        <v>94</v>
      </c>
      <c r="C101" s="4">
        <f t="shared" si="13"/>
        <v>48400</v>
      </c>
      <c r="D101" s="6">
        <f t="shared" si="8"/>
        <v>718.04380697907106</v>
      </c>
      <c r="E101" s="6">
        <f t="shared" si="9"/>
        <v>435.23333112720445</v>
      </c>
      <c r="F101" s="5">
        <f t="shared" si="10"/>
        <v>1153.2771381062755</v>
      </c>
      <c r="G101" s="6">
        <f t="shared" si="11"/>
        <v>56.88</v>
      </c>
      <c r="H101" s="5">
        <f t="shared" si="12"/>
        <v>1210.1571381062756</v>
      </c>
      <c r="I101" s="3" t="str">
        <f t="shared" si="14"/>
        <v>Unpaid</v>
      </c>
      <c r="J101" s="6">
        <f t="shared" si="15"/>
        <v>244136.17839313796</v>
      </c>
    </row>
    <row r="102" spans="2:10">
      <c r="B102" s="3" cm="1">
        <f t="array" ref="B102">IF(ROW()-ROW($B$7)&lt;=duration,ROW()-ROW($B$7),"")</f>
        <v>95</v>
      </c>
      <c r="C102" s="4">
        <f t="shared" si="13"/>
        <v>48431</v>
      </c>
      <c r="D102" s="6">
        <f t="shared" si="8"/>
        <v>719.68932403673148</v>
      </c>
      <c r="E102" s="6">
        <f t="shared" si="9"/>
        <v>433.58781406954409</v>
      </c>
      <c r="F102" s="5">
        <f t="shared" si="10"/>
        <v>1153.2771381062755</v>
      </c>
      <c r="G102" s="6">
        <f t="shared" si="11"/>
        <v>56.88</v>
      </c>
      <c r="H102" s="5">
        <f t="shared" si="12"/>
        <v>1210.1571381062756</v>
      </c>
      <c r="I102" s="3" t="str">
        <f t="shared" si="14"/>
        <v>Unpaid</v>
      </c>
      <c r="J102" s="6">
        <f t="shared" si="15"/>
        <v>244136.17839313796</v>
      </c>
    </row>
    <row r="103" spans="2:10">
      <c r="B103" s="3" cm="1">
        <f t="array" ref="B103">IF(ROW()-ROW($B$7)&lt;=duration,ROW()-ROW($B$7),"")</f>
        <v>96</v>
      </c>
      <c r="C103" s="4">
        <f t="shared" si="13"/>
        <v>48462</v>
      </c>
      <c r="D103" s="6">
        <f t="shared" si="8"/>
        <v>721.33861207098232</v>
      </c>
      <c r="E103" s="6">
        <f t="shared" si="9"/>
        <v>431.93852603529319</v>
      </c>
      <c r="F103" s="5">
        <f t="shared" si="10"/>
        <v>1153.2771381062755</v>
      </c>
      <c r="G103" s="6">
        <f t="shared" si="11"/>
        <v>56.88</v>
      </c>
      <c r="H103" s="5">
        <f t="shared" si="12"/>
        <v>1210.1571381062756</v>
      </c>
      <c r="I103" s="3" t="str">
        <f t="shared" si="14"/>
        <v>Unpaid</v>
      </c>
      <c r="J103" s="6">
        <f t="shared" si="15"/>
        <v>244136.17839313796</v>
      </c>
    </row>
    <row r="104" spans="2:10">
      <c r="B104" s="3" cm="1">
        <f t="array" ref="B104">IF(ROW()-ROW($B$7)&lt;=duration,ROW()-ROW($B$7),"")</f>
        <v>97</v>
      </c>
      <c r="C104" s="4">
        <f t="shared" si="13"/>
        <v>48492</v>
      </c>
      <c r="D104" s="6">
        <f t="shared" si="8"/>
        <v>722.99167972364489</v>
      </c>
      <c r="E104" s="6">
        <f t="shared" si="9"/>
        <v>430.28545838263057</v>
      </c>
      <c r="F104" s="5">
        <f t="shared" si="10"/>
        <v>1153.2771381062755</v>
      </c>
      <c r="G104" s="6">
        <f t="shared" si="11"/>
        <v>56.88</v>
      </c>
      <c r="H104" s="5">
        <f t="shared" si="12"/>
        <v>1210.1571381062756</v>
      </c>
      <c r="I104" s="3" t="str">
        <f t="shared" si="14"/>
        <v>Unpaid</v>
      </c>
      <c r="J104" s="6">
        <f t="shared" si="15"/>
        <v>244136.17839313796</v>
      </c>
    </row>
    <row r="105" spans="2:10">
      <c r="B105" s="3" cm="1">
        <f t="array" ref="B105">IF(ROW()-ROW($B$7)&lt;=duration,ROW()-ROW($B$7),"")</f>
        <v>98</v>
      </c>
      <c r="C105" s="4">
        <f t="shared" si="13"/>
        <v>48523</v>
      </c>
      <c r="D105" s="6">
        <f t="shared" si="8"/>
        <v>724.64853565634508</v>
      </c>
      <c r="E105" s="6">
        <f t="shared" si="9"/>
        <v>428.6286024499305</v>
      </c>
      <c r="F105" s="5">
        <f t="shared" si="10"/>
        <v>1153.2771381062755</v>
      </c>
      <c r="G105" s="6">
        <f t="shared" si="11"/>
        <v>56.88</v>
      </c>
      <c r="H105" s="5">
        <f t="shared" si="12"/>
        <v>1210.1571381062756</v>
      </c>
      <c r="I105" s="3" t="str">
        <f t="shared" si="14"/>
        <v>Unpaid</v>
      </c>
      <c r="J105" s="6">
        <f t="shared" si="15"/>
        <v>244136.17839313796</v>
      </c>
    </row>
    <row r="106" spans="2:10">
      <c r="B106" s="3" cm="1">
        <f t="array" ref="B106">IF(ROW()-ROW($B$7)&lt;=duration,ROW()-ROW($B$7),"")</f>
        <v>99</v>
      </c>
      <c r="C106" s="4">
        <f t="shared" si="13"/>
        <v>48553</v>
      </c>
      <c r="D106" s="6">
        <f t="shared" si="8"/>
        <v>726.30918855055734</v>
      </c>
      <c r="E106" s="6">
        <f t="shared" si="9"/>
        <v>426.96794955571812</v>
      </c>
      <c r="F106" s="5">
        <f t="shared" si="10"/>
        <v>1153.2771381062755</v>
      </c>
      <c r="G106" s="6">
        <f t="shared" si="11"/>
        <v>56.88</v>
      </c>
      <c r="H106" s="5">
        <f t="shared" si="12"/>
        <v>1210.1571381062756</v>
      </c>
      <c r="I106" s="3" t="str">
        <f t="shared" si="14"/>
        <v>Unpaid</v>
      </c>
      <c r="J106" s="6">
        <f t="shared" si="15"/>
        <v>244136.17839313796</v>
      </c>
    </row>
    <row r="107" spans="2:10">
      <c r="B107" s="3" cm="1">
        <f t="array" ref="B107">IF(ROW()-ROW($B$7)&lt;=duration,ROW()-ROW($B$7),"")</f>
        <v>100</v>
      </c>
      <c r="C107" s="4">
        <f t="shared" si="13"/>
        <v>48584</v>
      </c>
      <c r="D107" s="6">
        <f t="shared" si="8"/>
        <v>727.97364710765237</v>
      </c>
      <c r="E107" s="6">
        <f t="shared" si="9"/>
        <v>425.30349099862315</v>
      </c>
      <c r="F107" s="5">
        <f t="shared" si="10"/>
        <v>1153.2771381062755</v>
      </c>
      <c r="G107" s="6">
        <f t="shared" si="11"/>
        <v>56.88</v>
      </c>
      <c r="H107" s="5">
        <f t="shared" si="12"/>
        <v>1210.1571381062756</v>
      </c>
      <c r="I107" s="3" t="str">
        <f t="shared" si="14"/>
        <v>Unpaid</v>
      </c>
      <c r="J107" s="6">
        <f t="shared" si="15"/>
        <v>244136.17839313796</v>
      </c>
    </row>
    <row r="108" spans="2:10">
      <c r="B108" s="3" cm="1">
        <f t="array" ref="B108">IF(ROW()-ROW($B$7)&lt;=duration,ROW()-ROW($B$7),"")</f>
        <v>101</v>
      </c>
      <c r="C108" s="4">
        <f t="shared" si="13"/>
        <v>48615</v>
      </c>
      <c r="D108" s="6">
        <f t="shared" si="8"/>
        <v>729.64192004894085</v>
      </c>
      <c r="E108" s="6">
        <f t="shared" si="9"/>
        <v>423.63521805733473</v>
      </c>
      <c r="F108" s="5">
        <f t="shared" si="10"/>
        <v>1153.2771381062755</v>
      </c>
      <c r="G108" s="6">
        <f t="shared" si="11"/>
        <v>56.88</v>
      </c>
      <c r="H108" s="5">
        <f t="shared" si="12"/>
        <v>1210.1571381062756</v>
      </c>
      <c r="I108" s="3" t="str">
        <f t="shared" si="14"/>
        <v>Unpaid</v>
      </c>
      <c r="J108" s="6">
        <f t="shared" si="15"/>
        <v>244136.17839313796</v>
      </c>
    </row>
    <row r="109" spans="2:10">
      <c r="B109" s="3" cm="1">
        <f t="array" ref="B109">IF(ROW()-ROW($B$7)&lt;=duration,ROW()-ROW($B$7),"")</f>
        <v>102</v>
      </c>
      <c r="C109" s="4">
        <f t="shared" si="13"/>
        <v>48643</v>
      </c>
      <c r="D109" s="6">
        <f t="shared" si="8"/>
        <v>731.3140161157196</v>
      </c>
      <c r="E109" s="6">
        <f t="shared" si="9"/>
        <v>421.96312199055598</v>
      </c>
      <c r="F109" s="5">
        <f t="shared" si="10"/>
        <v>1153.2771381062755</v>
      </c>
      <c r="G109" s="6">
        <f t="shared" si="11"/>
        <v>56.88</v>
      </c>
      <c r="H109" s="5">
        <f t="shared" si="12"/>
        <v>1210.1571381062756</v>
      </c>
      <c r="I109" s="3" t="str">
        <f t="shared" si="14"/>
        <v>Unpaid</v>
      </c>
      <c r="J109" s="6">
        <f t="shared" si="15"/>
        <v>244136.17839313796</v>
      </c>
    </row>
    <row r="110" spans="2:10">
      <c r="B110" s="3" cm="1">
        <f t="array" ref="B110">IF(ROW()-ROW($B$7)&lt;=duration,ROW()-ROW($B$7),"")</f>
        <v>103</v>
      </c>
      <c r="C110" s="4">
        <f t="shared" si="13"/>
        <v>48674</v>
      </c>
      <c r="D110" s="6">
        <f t="shared" si="8"/>
        <v>732.9899440693182</v>
      </c>
      <c r="E110" s="6">
        <f t="shared" si="9"/>
        <v>420.28719403695737</v>
      </c>
      <c r="F110" s="5">
        <f t="shared" si="10"/>
        <v>1153.2771381062755</v>
      </c>
      <c r="G110" s="6">
        <f t="shared" si="11"/>
        <v>56.88</v>
      </c>
      <c r="H110" s="5">
        <f t="shared" si="12"/>
        <v>1210.1571381062756</v>
      </c>
      <c r="I110" s="3" t="str">
        <f t="shared" si="14"/>
        <v>Unpaid</v>
      </c>
      <c r="J110" s="6">
        <f t="shared" si="15"/>
        <v>244136.17839313796</v>
      </c>
    </row>
    <row r="111" spans="2:10">
      <c r="B111" s="3" cm="1">
        <f t="array" ref="B111">IF(ROW()-ROW($B$7)&lt;=duration,ROW()-ROW($B$7),"")</f>
        <v>104</v>
      </c>
      <c r="C111" s="4">
        <f t="shared" si="13"/>
        <v>48704</v>
      </c>
      <c r="D111" s="6">
        <f t="shared" si="8"/>
        <v>734.66971269114356</v>
      </c>
      <c r="E111" s="6">
        <f t="shared" si="9"/>
        <v>418.6074254151319</v>
      </c>
      <c r="F111" s="5">
        <f t="shared" si="10"/>
        <v>1153.2771381062755</v>
      </c>
      <c r="G111" s="6">
        <f t="shared" si="11"/>
        <v>56.88</v>
      </c>
      <c r="H111" s="5">
        <f t="shared" si="12"/>
        <v>1210.1571381062756</v>
      </c>
      <c r="I111" s="3" t="str">
        <f t="shared" si="14"/>
        <v>Unpaid</v>
      </c>
      <c r="J111" s="6">
        <f t="shared" si="15"/>
        <v>244136.17839313796</v>
      </c>
    </row>
    <row r="112" spans="2:10">
      <c r="B112" s="3" cm="1">
        <f t="array" ref="B112">IF(ROW()-ROW($B$7)&lt;=duration,ROW()-ROW($B$7),"")</f>
        <v>105</v>
      </c>
      <c r="C112" s="4">
        <f t="shared" si="13"/>
        <v>48735</v>
      </c>
      <c r="D112" s="6">
        <f t="shared" si="8"/>
        <v>736.35333078272743</v>
      </c>
      <c r="E112" s="6">
        <f t="shared" si="9"/>
        <v>416.92380732354803</v>
      </c>
      <c r="F112" s="5">
        <f t="shared" si="10"/>
        <v>1153.2771381062755</v>
      </c>
      <c r="G112" s="6">
        <f t="shared" si="11"/>
        <v>56.88</v>
      </c>
      <c r="H112" s="5">
        <f t="shared" si="12"/>
        <v>1210.1571381062756</v>
      </c>
      <c r="I112" s="3" t="str">
        <f t="shared" si="14"/>
        <v>Unpaid</v>
      </c>
      <c r="J112" s="6">
        <f t="shared" si="15"/>
        <v>244136.17839313796</v>
      </c>
    </row>
    <row r="113" spans="2:10">
      <c r="B113" s="3" cm="1">
        <f t="array" ref="B113">IF(ROW()-ROW($B$7)&lt;=duration,ROW()-ROW($B$7),"")</f>
        <v>106</v>
      </c>
      <c r="C113" s="4">
        <f t="shared" si="13"/>
        <v>48765</v>
      </c>
      <c r="D113" s="6">
        <f t="shared" si="8"/>
        <v>738.0408071657713</v>
      </c>
      <c r="E113" s="6">
        <f t="shared" si="9"/>
        <v>415.23633094050422</v>
      </c>
      <c r="F113" s="5">
        <f t="shared" si="10"/>
        <v>1153.2771381062755</v>
      </c>
      <c r="G113" s="6">
        <f t="shared" si="11"/>
        <v>56.88</v>
      </c>
      <c r="H113" s="5">
        <f t="shared" si="12"/>
        <v>1210.1571381062756</v>
      </c>
      <c r="I113" s="3" t="str">
        <f t="shared" si="14"/>
        <v>Unpaid</v>
      </c>
      <c r="J113" s="6">
        <f t="shared" si="15"/>
        <v>244136.17839313796</v>
      </c>
    </row>
    <row r="114" spans="2:10">
      <c r="B114" s="3" cm="1">
        <f t="array" ref="B114">IF(ROW()-ROW($B$7)&lt;=duration,ROW()-ROW($B$7),"")</f>
        <v>107</v>
      </c>
      <c r="C114" s="4">
        <f t="shared" si="13"/>
        <v>48796</v>
      </c>
      <c r="D114" s="6">
        <f t="shared" si="8"/>
        <v>739.73215068219292</v>
      </c>
      <c r="E114" s="6">
        <f t="shared" si="9"/>
        <v>413.54498742408259</v>
      </c>
      <c r="F114" s="5">
        <f t="shared" si="10"/>
        <v>1153.2771381062755</v>
      </c>
      <c r="G114" s="6">
        <f t="shared" si="11"/>
        <v>56.88</v>
      </c>
      <c r="H114" s="5">
        <f t="shared" si="12"/>
        <v>1210.1571381062756</v>
      </c>
      <c r="I114" s="3" t="str">
        <f t="shared" si="14"/>
        <v>Unpaid</v>
      </c>
      <c r="J114" s="6">
        <f t="shared" si="15"/>
        <v>244136.17839313796</v>
      </c>
    </row>
    <row r="115" spans="2:10">
      <c r="B115" s="3" cm="1">
        <f t="array" ref="B115">IF(ROW()-ROW($B$7)&lt;=duration,ROW()-ROW($B$7),"")</f>
        <v>108</v>
      </c>
      <c r="C115" s="4">
        <f t="shared" si="13"/>
        <v>48827</v>
      </c>
      <c r="D115" s="6">
        <f t="shared" si="8"/>
        <v>741.42737019417291</v>
      </c>
      <c r="E115" s="6">
        <f t="shared" si="9"/>
        <v>411.84976791210261</v>
      </c>
      <c r="F115" s="5">
        <f t="shared" si="10"/>
        <v>1153.2771381062755</v>
      </c>
      <c r="G115" s="6">
        <f t="shared" si="11"/>
        <v>56.88</v>
      </c>
      <c r="H115" s="5">
        <f t="shared" si="12"/>
        <v>1210.1571381062756</v>
      </c>
      <c r="I115" s="3" t="str">
        <f t="shared" si="14"/>
        <v>Unpaid</v>
      </c>
      <c r="J115" s="6">
        <f t="shared" si="15"/>
        <v>244136.17839313796</v>
      </c>
    </row>
    <row r="116" spans="2:10">
      <c r="B116" s="3" cm="1">
        <f t="array" ref="B116">IF(ROW()-ROW($B$7)&lt;=duration,ROW()-ROW($B$7),"")</f>
        <v>109</v>
      </c>
      <c r="C116" s="4">
        <f t="shared" si="13"/>
        <v>48857</v>
      </c>
      <c r="D116" s="6">
        <f t="shared" si="8"/>
        <v>743.12647458420122</v>
      </c>
      <c r="E116" s="6">
        <f t="shared" si="9"/>
        <v>410.1506635220743</v>
      </c>
      <c r="F116" s="5">
        <f t="shared" si="10"/>
        <v>1153.2771381062755</v>
      </c>
      <c r="G116" s="6">
        <f t="shared" si="11"/>
        <v>56.88</v>
      </c>
      <c r="H116" s="5">
        <f t="shared" si="12"/>
        <v>1210.1571381062756</v>
      </c>
      <c r="I116" s="3" t="str">
        <f t="shared" si="14"/>
        <v>Unpaid</v>
      </c>
      <c r="J116" s="6">
        <f t="shared" si="15"/>
        <v>244136.17839313796</v>
      </c>
    </row>
    <row r="117" spans="2:10">
      <c r="B117" s="3" cm="1">
        <f t="array" ref="B117">IF(ROW()-ROW($B$7)&lt;=duration,ROW()-ROW($B$7),"")</f>
        <v>110</v>
      </c>
      <c r="C117" s="4">
        <f t="shared" si="13"/>
        <v>48888</v>
      </c>
      <c r="D117" s="6">
        <f t="shared" si="8"/>
        <v>744.82947275512333</v>
      </c>
      <c r="E117" s="6">
        <f t="shared" si="9"/>
        <v>408.44766535115218</v>
      </c>
      <c r="F117" s="5">
        <f t="shared" si="10"/>
        <v>1153.2771381062755</v>
      </c>
      <c r="G117" s="6">
        <f t="shared" si="11"/>
        <v>56.88</v>
      </c>
      <c r="H117" s="5">
        <f t="shared" si="12"/>
        <v>1210.1571381062756</v>
      </c>
      <c r="I117" s="3" t="str">
        <f t="shared" si="14"/>
        <v>Unpaid</v>
      </c>
      <c r="J117" s="6">
        <f t="shared" si="15"/>
        <v>244136.17839313796</v>
      </c>
    </row>
    <row r="118" spans="2:10">
      <c r="B118" s="3" cm="1">
        <f t="array" ref="B118">IF(ROW()-ROW($B$7)&lt;=duration,ROW()-ROW($B$7),"")</f>
        <v>111</v>
      </c>
      <c r="C118" s="4">
        <f t="shared" si="13"/>
        <v>48918</v>
      </c>
      <c r="D118" s="6">
        <f t="shared" si="8"/>
        <v>746.5363736301872</v>
      </c>
      <c r="E118" s="6">
        <f t="shared" si="9"/>
        <v>406.74076447608837</v>
      </c>
      <c r="F118" s="5">
        <f t="shared" si="10"/>
        <v>1153.2771381062755</v>
      </c>
      <c r="G118" s="6">
        <f t="shared" si="11"/>
        <v>56.88</v>
      </c>
      <c r="H118" s="5">
        <f t="shared" si="12"/>
        <v>1210.1571381062756</v>
      </c>
      <c r="I118" s="3" t="str">
        <f t="shared" si="14"/>
        <v>Unpaid</v>
      </c>
      <c r="J118" s="6">
        <f t="shared" si="15"/>
        <v>244136.17839313796</v>
      </c>
    </row>
    <row r="119" spans="2:10">
      <c r="B119" s="3" cm="1">
        <f t="array" ref="B119">IF(ROW()-ROW($B$7)&lt;=duration,ROW()-ROW($B$7),"")</f>
        <v>112</v>
      </c>
      <c r="C119" s="4">
        <f t="shared" si="13"/>
        <v>48949</v>
      </c>
      <c r="D119" s="6">
        <f t="shared" si="8"/>
        <v>748.24718615308961</v>
      </c>
      <c r="E119" s="6">
        <f t="shared" si="9"/>
        <v>405.02995195318584</v>
      </c>
      <c r="F119" s="5">
        <f t="shared" si="10"/>
        <v>1153.2771381062755</v>
      </c>
      <c r="G119" s="6">
        <f t="shared" si="11"/>
        <v>56.88</v>
      </c>
      <c r="H119" s="5">
        <f t="shared" si="12"/>
        <v>1210.1571381062756</v>
      </c>
      <c r="I119" s="3" t="str">
        <f t="shared" si="14"/>
        <v>Unpaid</v>
      </c>
      <c r="J119" s="6">
        <f t="shared" si="15"/>
        <v>244136.17839313796</v>
      </c>
    </row>
    <row r="120" spans="2:10">
      <c r="B120" s="3" cm="1">
        <f t="array" ref="B120">IF(ROW()-ROW($B$7)&lt;=duration,ROW()-ROW($B$7),"")</f>
        <v>113</v>
      </c>
      <c r="C120" s="4">
        <f t="shared" si="13"/>
        <v>48980</v>
      </c>
      <c r="D120" s="6">
        <f t="shared" si="8"/>
        <v>749.96191928802386</v>
      </c>
      <c r="E120" s="6">
        <f t="shared" si="9"/>
        <v>403.31521881825165</v>
      </c>
      <c r="F120" s="5">
        <f t="shared" si="10"/>
        <v>1153.2771381062755</v>
      </c>
      <c r="G120" s="6">
        <f t="shared" si="11"/>
        <v>56.88</v>
      </c>
      <c r="H120" s="5">
        <f t="shared" si="12"/>
        <v>1210.1571381062756</v>
      </c>
      <c r="I120" s="3" t="str">
        <f t="shared" si="14"/>
        <v>Unpaid</v>
      </c>
      <c r="J120" s="6">
        <f t="shared" si="15"/>
        <v>244136.17839313796</v>
      </c>
    </row>
    <row r="121" spans="2:10">
      <c r="B121" s="3" cm="1">
        <f t="array" ref="B121">IF(ROW()-ROW($B$7)&lt;=duration,ROW()-ROW($B$7),"")</f>
        <v>114</v>
      </c>
      <c r="C121" s="4">
        <f t="shared" si="13"/>
        <v>49008</v>
      </c>
      <c r="D121" s="6">
        <f t="shared" si="8"/>
        <v>751.68058201972553</v>
      </c>
      <c r="E121" s="6">
        <f t="shared" si="9"/>
        <v>401.59655608654992</v>
      </c>
      <c r="F121" s="5">
        <f t="shared" si="10"/>
        <v>1153.2771381062755</v>
      </c>
      <c r="G121" s="6">
        <f t="shared" si="11"/>
        <v>56.88</v>
      </c>
      <c r="H121" s="5">
        <f t="shared" si="12"/>
        <v>1210.1571381062756</v>
      </c>
      <c r="I121" s="3" t="str">
        <f t="shared" si="14"/>
        <v>Unpaid</v>
      </c>
      <c r="J121" s="6">
        <f t="shared" si="15"/>
        <v>244136.17839313796</v>
      </c>
    </row>
    <row r="122" spans="2:10">
      <c r="B122" s="3" cm="1">
        <f t="array" ref="B122">IF(ROW()-ROW($B$7)&lt;=duration,ROW()-ROW($B$7),"")</f>
        <v>115</v>
      </c>
      <c r="C122" s="4">
        <f t="shared" si="13"/>
        <v>49039</v>
      </c>
      <c r="D122" s="6">
        <f t="shared" si="8"/>
        <v>753.40318335352072</v>
      </c>
      <c r="E122" s="6">
        <f t="shared" si="9"/>
        <v>399.8739547527548</v>
      </c>
      <c r="F122" s="5">
        <f t="shared" si="10"/>
        <v>1153.2771381062755</v>
      </c>
      <c r="G122" s="6">
        <f t="shared" si="11"/>
        <v>56.88</v>
      </c>
      <c r="H122" s="5">
        <f t="shared" si="12"/>
        <v>1210.1571381062756</v>
      </c>
      <c r="I122" s="3" t="str">
        <f t="shared" si="14"/>
        <v>Unpaid</v>
      </c>
      <c r="J122" s="6">
        <f t="shared" si="15"/>
        <v>244136.17839313796</v>
      </c>
    </row>
    <row r="123" spans="2:10">
      <c r="B123" s="3" cm="1">
        <f t="array" ref="B123">IF(ROW()-ROW($B$7)&lt;=duration,ROW()-ROW($B$7),"")</f>
        <v>116</v>
      </c>
      <c r="C123" s="4">
        <f t="shared" si="13"/>
        <v>49069</v>
      </c>
      <c r="D123" s="6">
        <f t="shared" si="8"/>
        <v>755.12973231537251</v>
      </c>
      <c r="E123" s="6">
        <f t="shared" si="9"/>
        <v>398.14740579090301</v>
      </c>
      <c r="F123" s="5">
        <f t="shared" si="10"/>
        <v>1153.2771381062755</v>
      </c>
      <c r="G123" s="6">
        <f t="shared" si="11"/>
        <v>56.88</v>
      </c>
      <c r="H123" s="5">
        <f t="shared" si="12"/>
        <v>1210.1571381062756</v>
      </c>
      <c r="I123" s="3" t="str">
        <f t="shared" si="14"/>
        <v>Unpaid</v>
      </c>
      <c r="J123" s="6">
        <f t="shared" si="15"/>
        <v>244136.17839313796</v>
      </c>
    </row>
    <row r="124" spans="2:10">
      <c r="B124" s="3" cm="1">
        <f t="array" ref="B124">IF(ROW()-ROW($B$7)&lt;=duration,ROW()-ROW($B$7),"")</f>
        <v>117</v>
      </c>
      <c r="C124" s="4">
        <f t="shared" si="13"/>
        <v>49100</v>
      </c>
      <c r="D124" s="6">
        <f t="shared" si="8"/>
        <v>756.86023795192864</v>
      </c>
      <c r="E124" s="6">
        <f t="shared" si="9"/>
        <v>396.41690015434688</v>
      </c>
      <c r="F124" s="5">
        <f t="shared" si="10"/>
        <v>1153.2771381062755</v>
      </c>
      <c r="G124" s="6">
        <f t="shared" si="11"/>
        <v>56.88</v>
      </c>
      <c r="H124" s="5">
        <f t="shared" si="12"/>
        <v>1210.1571381062756</v>
      </c>
      <c r="I124" s="3" t="str">
        <f t="shared" si="14"/>
        <v>Unpaid</v>
      </c>
      <c r="J124" s="6">
        <f t="shared" si="15"/>
        <v>244136.17839313796</v>
      </c>
    </row>
    <row r="125" spans="2:10">
      <c r="B125" s="3" cm="1">
        <f t="array" ref="B125">IF(ROW()-ROW($B$7)&lt;=duration,ROW()-ROW($B$7),"")</f>
        <v>118</v>
      </c>
      <c r="C125" s="4">
        <f t="shared" si="13"/>
        <v>49130</v>
      </c>
      <c r="D125" s="6">
        <f t="shared" si="8"/>
        <v>758.59470933056855</v>
      </c>
      <c r="E125" s="6">
        <f t="shared" si="9"/>
        <v>394.68242877570702</v>
      </c>
      <c r="F125" s="5">
        <f t="shared" si="10"/>
        <v>1153.2771381062755</v>
      </c>
      <c r="G125" s="6">
        <f t="shared" si="11"/>
        <v>56.88</v>
      </c>
      <c r="H125" s="5">
        <f t="shared" si="12"/>
        <v>1210.1571381062756</v>
      </c>
      <c r="I125" s="3" t="str">
        <f t="shared" si="14"/>
        <v>Unpaid</v>
      </c>
      <c r="J125" s="6">
        <f t="shared" si="15"/>
        <v>244136.17839313796</v>
      </c>
    </row>
    <row r="126" spans="2:10">
      <c r="B126" s="3" cm="1">
        <f t="array" ref="B126">IF(ROW()-ROW($B$7)&lt;=duration,ROW()-ROW($B$7),"")</f>
        <v>119</v>
      </c>
      <c r="C126" s="4">
        <f t="shared" si="13"/>
        <v>49161</v>
      </c>
      <c r="D126" s="6">
        <f t="shared" si="8"/>
        <v>760.33315553945101</v>
      </c>
      <c r="E126" s="6">
        <f t="shared" si="9"/>
        <v>392.9439825668245</v>
      </c>
      <c r="F126" s="5">
        <f t="shared" si="10"/>
        <v>1153.2771381062755</v>
      </c>
      <c r="G126" s="6">
        <f t="shared" si="11"/>
        <v>56.88</v>
      </c>
      <c r="H126" s="5">
        <f t="shared" si="12"/>
        <v>1210.1571381062756</v>
      </c>
      <c r="I126" s="3" t="str">
        <f t="shared" si="14"/>
        <v>Unpaid</v>
      </c>
      <c r="J126" s="6">
        <f t="shared" si="15"/>
        <v>244136.17839313796</v>
      </c>
    </row>
    <row r="127" spans="2:10">
      <c r="B127" s="3" cm="1">
        <f t="array" ref="B127">IF(ROW()-ROW($B$7)&lt;=duration,ROW()-ROW($B$7),"")</f>
        <v>120</v>
      </c>
      <c r="C127" s="4">
        <f t="shared" si="13"/>
        <v>49192</v>
      </c>
      <c r="D127" s="6">
        <f t="shared" si="8"/>
        <v>762.07558568756224</v>
      </c>
      <c r="E127" s="6">
        <f t="shared" si="9"/>
        <v>391.20155241871328</v>
      </c>
      <c r="F127" s="5">
        <f t="shared" si="10"/>
        <v>1153.2771381062755</v>
      </c>
      <c r="G127" s="6">
        <f t="shared" si="11"/>
        <v>56.88</v>
      </c>
      <c r="H127" s="5">
        <f t="shared" si="12"/>
        <v>1210.1571381062756</v>
      </c>
      <c r="I127" s="3" t="str">
        <f t="shared" si="14"/>
        <v>Unpaid</v>
      </c>
      <c r="J127" s="6">
        <f t="shared" si="15"/>
        <v>244136.17839313796</v>
      </c>
    </row>
    <row r="128" spans="2:10">
      <c r="B128" s="3" cm="1">
        <f t="array" ref="B128">IF(ROW()-ROW($B$7)&lt;=duration,ROW()-ROW($B$7),"")</f>
        <v>121</v>
      </c>
      <c r="C128" s="4">
        <f t="shared" si="13"/>
        <v>49222</v>
      </c>
      <c r="D128" s="6">
        <f t="shared" si="8"/>
        <v>763.82200890476292</v>
      </c>
      <c r="E128" s="6">
        <f t="shared" si="9"/>
        <v>389.45512920151259</v>
      </c>
      <c r="F128" s="5">
        <f t="shared" si="10"/>
        <v>1153.2771381062755</v>
      </c>
      <c r="G128" s="6">
        <f t="shared" si="11"/>
        <v>56.88</v>
      </c>
      <c r="H128" s="5">
        <f t="shared" si="12"/>
        <v>1210.1571381062756</v>
      </c>
      <c r="I128" s="3" t="str">
        <f t="shared" si="14"/>
        <v>Unpaid</v>
      </c>
      <c r="J128" s="6">
        <f t="shared" si="15"/>
        <v>244136.17839313796</v>
      </c>
    </row>
    <row r="129" spans="2:10">
      <c r="B129" s="3" cm="1">
        <f t="array" ref="B129">IF(ROW()-ROW($B$7)&lt;=duration,ROW()-ROW($B$7),"")</f>
        <v>122</v>
      </c>
      <c r="C129" s="4">
        <f t="shared" si="13"/>
        <v>49253</v>
      </c>
      <c r="D129" s="6">
        <f t="shared" si="8"/>
        <v>765.57243434183636</v>
      </c>
      <c r="E129" s="6">
        <f t="shared" si="9"/>
        <v>387.70470376443916</v>
      </c>
      <c r="F129" s="5">
        <f t="shared" si="10"/>
        <v>1153.2771381062755</v>
      </c>
      <c r="G129" s="6">
        <f t="shared" si="11"/>
        <v>56.88</v>
      </c>
      <c r="H129" s="5">
        <f t="shared" si="12"/>
        <v>1210.1571381062756</v>
      </c>
      <c r="I129" s="3" t="str">
        <f t="shared" si="14"/>
        <v>Unpaid</v>
      </c>
      <c r="J129" s="6">
        <f t="shared" si="15"/>
        <v>244136.17839313796</v>
      </c>
    </row>
    <row r="130" spans="2:10">
      <c r="B130" s="3" cm="1">
        <f t="array" ref="B130">IF(ROW()-ROW($B$7)&lt;=duration,ROW()-ROW($B$7),"")</f>
        <v>123</v>
      </c>
      <c r="C130" s="4">
        <f t="shared" si="13"/>
        <v>49283</v>
      </c>
      <c r="D130" s="6">
        <f t="shared" si="8"/>
        <v>767.32687117053638</v>
      </c>
      <c r="E130" s="6">
        <f t="shared" si="9"/>
        <v>385.95026693573919</v>
      </c>
      <c r="F130" s="5">
        <f t="shared" si="10"/>
        <v>1153.2771381062755</v>
      </c>
      <c r="G130" s="6">
        <f t="shared" si="11"/>
        <v>56.88</v>
      </c>
      <c r="H130" s="5">
        <f t="shared" si="12"/>
        <v>1210.1571381062756</v>
      </c>
      <c r="I130" s="3" t="str">
        <f t="shared" si="14"/>
        <v>Unpaid</v>
      </c>
      <c r="J130" s="6">
        <f t="shared" si="15"/>
        <v>244136.17839313796</v>
      </c>
    </row>
    <row r="131" spans="2:10">
      <c r="B131" s="3" cm="1">
        <f t="array" ref="B131">IF(ROW()-ROW($B$7)&lt;=duration,ROW()-ROW($B$7),"")</f>
        <v>124</v>
      </c>
      <c r="C131" s="4">
        <f t="shared" si="13"/>
        <v>49314</v>
      </c>
      <c r="D131" s="6">
        <f t="shared" si="8"/>
        <v>769.0853285836356</v>
      </c>
      <c r="E131" s="6">
        <f t="shared" si="9"/>
        <v>384.19180952263997</v>
      </c>
      <c r="F131" s="5">
        <f t="shared" si="10"/>
        <v>1153.2771381062755</v>
      </c>
      <c r="G131" s="6">
        <f t="shared" si="11"/>
        <v>56.88</v>
      </c>
      <c r="H131" s="5">
        <f t="shared" si="12"/>
        <v>1210.1571381062756</v>
      </c>
      <c r="I131" s="3" t="str">
        <f t="shared" si="14"/>
        <v>Unpaid</v>
      </c>
      <c r="J131" s="6">
        <f t="shared" si="15"/>
        <v>244136.17839313796</v>
      </c>
    </row>
    <row r="132" spans="2:10">
      <c r="B132" s="3" cm="1">
        <f t="array" ref="B132">IF(ROW()-ROW($B$7)&lt;=duration,ROW()-ROW($B$7),"")</f>
        <v>125</v>
      </c>
      <c r="C132" s="4">
        <f t="shared" si="13"/>
        <v>49345</v>
      </c>
      <c r="D132" s="6">
        <f t="shared" si="8"/>
        <v>770.84781579497303</v>
      </c>
      <c r="E132" s="6">
        <f t="shared" si="9"/>
        <v>382.42932231130254</v>
      </c>
      <c r="F132" s="5">
        <f t="shared" si="10"/>
        <v>1153.2771381062755</v>
      </c>
      <c r="G132" s="6">
        <f t="shared" si="11"/>
        <v>56.88</v>
      </c>
      <c r="H132" s="5">
        <f t="shared" si="12"/>
        <v>1210.1571381062756</v>
      </c>
      <c r="I132" s="3" t="str">
        <f t="shared" si="14"/>
        <v>Unpaid</v>
      </c>
      <c r="J132" s="6">
        <f t="shared" si="15"/>
        <v>244136.17839313796</v>
      </c>
    </row>
    <row r="133" spans="2:10">
      <c r="B133" s="3" cm="1">
        <f t="array" ref="B133">IF(ROW()-ROW($B$7)&lt;=duration,ROW()-ROW($B$7),"")</f>
        <v>126</v>
      </c>
      <c r="C133" s="4">
        <f t="shared" si="13"/>
        <v>49373</v>
      </c>
      <c r="D133" s="6">
        <f t="shared" si="8"/>
        <v>772.61434203950307</v>
      </c>
      <c r="E133" s="6">
        <f t="shared" si="9"/>
        <v>380.66279606677239</v>
      </c>
      <c r="F133" s="5">
        <f t="shared" si="10"/>
        <v>1153.2771381062755</v>
      </c>
      <c r="G133" s="6">
        <f t="shared" si="11"/>
        <v>56.88</v>
      </c>
      <c r="H133" s="5">
        <f t="shared" si="12"/>
        <v>1210.1571381062756</v>
      </c>
      <c r="I133" s="3" t="str">
        <f t="shared" si="14"/>
        <v>Unpaid</v>
      </c>
      <c r="J133" s="6">
        <f t="shared" si="15"/>
        <v>244136.17839313796</v>
      </c>
    </row>
    <row r="134" spans="2:10">
      <c r="B134" s="3" cm="1">
        <f t="array" ref="B134">IF(ROW()-ROW($B$7)&lt;=duration,ROW()-ROW($B$7),"")</f>
        <v>127</v>
      </c>
      <c r="C134" s="4">
        <f t="shared" si="13"/>
        <v>49404</v>
      </c>
      <c r="D134" s="6">
        <f t="shared" si="8"/>
        <v>774.38491657334373</v>
      </c>
      <c r="E134" s="6">
        <f t="shared" si="9"/>
        <v>378.89222153293179</v>
      </c>
      <c r="F134" s="5">
        <f t="shared" si="10"/>
        <v>1153.2771381062755</v>
      </c>
      <c r="G134" s="6">
        <f t="shared" si="11"/>
        <v>56.88</v>
      </c>
      <c r="H134" s="5">
        <f t="shared" si="12"/>
        <v>1210.1571381062756</v>
      </c>
      <c r="I134" s="3" t="str">
        <f t="shared" si="14"/>
        <v>Unpaid</v>
      </c>
      <c r="J134" s="6">
        <f t="shared" si="15"/>
        <v>244136.17839313796</v>
      </c>
    </row>
    <row r="135" spans="2:10">
      <c r="B135" s="3" cm="1">
        <f t="array" ref="B135">IF(ROW()-ROW($B$7)&lt;=duration,ROW()-ROW($B$7),"")</f>
        <v>128</v>
      </c>
      <c r="C135" s="4">
        <f t="shared" si="13"/>
        <v>49434</v>
      </c>
      <c r="D135" s="6">
        <f t="shared" si="8"/>
        <v>776.15954867382425</v>
      </c>
      <c r="E135" s="6">
        <f t="shared" si="9"/>
        <v>377.11758943245127</v>
      </c>
      <c r="F135" s="5">
        <f t="shared" si="10"/>
        <v>1153.2771381062755</v>
      </c>
      <c r="G135" s="6">
        <f t="shared" si="11"/>
        <v>56.88</v>
      </c>
      <c r="H135" s="5">
        <f t="shared" si="12"/>
        <v>1210.1571381062756</v>
      </c>
      <c r="I135" s="3" t="str">
        <f t="shared" si="14"/>
        <v>Unpaid</v>
      </c>
      <c r="J135" s="6">
        <f t="shared" si="15"/>
        <v>244136.17839313796</v>
      </c>
    </row>
    <row r="136" spans="2:10">
      <c r="B136" s="3" cm="1">
        <f t="array" ref="B136">IF(ROW()-ROW($B$7)&lt;=duration,ROW()-ROW($B$7),"")</f>
        <v>129</v>
      </c>
      <c r="C136" s="4">
        <f t="shared" si="13"/>
        <v>49465</v>
      </c>
      <c r="D136" s="6">
        <f t="shared" ref="D136:D199" si="16">IF(B136="","",F136-E136)</f>
        <v>777.93824763953523</v>
      </c>
      <c r="E136" s="6">
        <f t="shared" ref="E136:E199" si="17">IF(B136="","",IPMT(_xlfn.SINGLE(loanInterestRate)/12,B136,duration,-_xlfn.SINGLE(principle)))</f>
        <v>375.33889046674028</v>
      </c>
      <c r="F136" s="5">
        <f t="shared" ref="F136:F199" si="18">IF(B136="", "", EMI)</f>
        <v>1153.2771381062755</v>
      </c>
      <c r="G136" s="6">
        <f t="shared" ref="G136:G199" si="19">IF(B136="","",insurancePerMonth)</f>
        <v>56.88</v>
      </c>
      <c r="H136" s="5">
        <f t="shared" ref="H136:H199" si="20">IF(B136="","",F136+G136)</f>
        <v>1210.1571381062756</v>
      </c>
      <c r="I136" s="3" t="str">
        <f t="shared" si="14"/>
        <v>Unpaid</v>
      </c>
      <c r="J136" s="6">
        <f t="shared" si="15"/>
        <v>244136.17839313796</v>
      </c>
    </row>
    <row r="137" spans="2:10">
      <c r="B137" s="3" cm="1">
        <f t="array" ref="B137">IF(ROW()-ROW($B$7)&lt;=duration,ROW()-ROW($B$7),"")</f>
        <v>130</v>
      </c>
      <c r="C137" s="4">
        <f t="shared" si="13"/>
        <v>49495</v>
      </c>
      <c r="D137" s="6">
        <f t="shared" si="16"/>
        <v>779.72102279037574</v>
      </c>
      <c r="E137" s="6">
        <f t="shared" si="17"/>
        <v>373.55611531589977</v>
      </c>
      <c r="F137" s="5">
        <f t="shared" si="18"/>
        <v>1153.2771381062755</v>
      </c>
      <c r="G137" s="6">
        <f t="shared" si="19"/>
        <v>56.88</v>
      </c>
      <c r="H137" s="5">
        <f t="shared" si="20"/>
        <v>1210.1571381062756</v>
      </c>
      <c r="I137" s="3" t="str">
        <f t="shared" si="14"/>
        <v>Unpaid</v>
      </c>
      <c r="J137" s="6">
        <f t="shared" si="15"/>
        <v>244136.17839313796</v>
      </c>
    </row>
    <row r="138" spans="2:10">
      <c r="B138" s="3" cm="1">
        <f t="array" ref="B138">IF(ROW()-ROW($B$7)&lt;=duration,ROW()-ROW($B$7),"")</f>
        <v>131</v>
      </c>
      <c r="C138" s="4">
        <f t="shared" ref="C138:C201" si="21">IF(B138="","",EOMONTH(C137,0)+5)</f>
        <v>49526</v>
      </c>
      <c r="D138" s="6">
        <f t="shared" si="16"/>
        <v>781.50788346760362</v>
      </c>
      <c r="E138" s="6">
        <f t="shared" si="17"/>
        <v>371.7692546386719</v>
      </c>
      <c r="F138" s="5">
        <f t="shared" si="18"/>
        <v>1153.2771381062755</v>
      </c>
      <c r="G138" s="6">
        <f t="shared" si="19"/>
        <v>56.88</v>
      </c>
      <c r="H138" s="5">
        <f t="shared" si="20"/>
        <v>1210.1571381062756</v>
      </c>
      <c r="I138" s="3" t="str">
        <f t="shared" ref="I138:I201" si="22">IF(B138="","","Unpaid")</f>
        <v>Unpaid</v>
      </c>
      <c r="J138" s="6">
        <f t="shared" ref="J138:J201" si="23">IF(B138="","",IF(I138="Unpaid",J137,J137-D138))</f>
        <v>244136.17839313796</v>
      </c>
    </row>
    <row r="139" spans="2:10">
      <c r="B139" s="3" cm="1">
        <f t="array" ref="B139">IF(ROW()-ROW($B$7)&lt;=duration,ROW()-ROW($B$7),"")</f>
        <v>132</v>
      </c>
      <c r="C139" s="4">
        <f t="shared" si="21"/>
        <v>49557</v>
      </c>
      <c r="D139" s="6">
        <f t="shared" si="16"/>
        <v>783.2988390338835</v>
      </c>
      <c r="E139" s="6">
        <f t="shared" si="17"/>
        <v>369.97829907239196</v>
      </c>
      <c r="F139" s="5">
        <f t="shared" si="18"/>
        <v>1153.2771381062755</v>
      </c>
      <c r="G139" s="6">
        <f t="shared" si="19"/>
        <v>56.88</v>
      </c>
      <c r="H139" s="5">
        <f t="shared" si="20"/>
        <v>1210.1571381062756</v>
      </c>
      <c r="I139" s="3" t="str">
        <f t="shared" si="22"/>
        <v>Unpaid</v>
      </c>
      <c r="J139" s="6">
        <f t="shared" si="23"/>
        <v>244136.17839313796</v>
      </c>
    </row>
    <row r="140" spans="2:10">
      <c r="B140" s="3" cm="1">
        <f t="array" ref="B140">IF(ROW()-ROW($B$7)&lt;=duration,ROW()-ROW($B$7),"")</f>
        <v>133</v>
      </c>
      <c r="C140" s="4">
        <f t="shared" si="21"/>
        <v>49587</v>
      </c>
      <c r="D140" s="6">
        <f t="shared" si="16"/>
        <v>785.09389887333623</v>
      </c>
      <c r="E140" s="6">
        <f t="shared" si="17"/>
        <v>368.18323923293934</v>
      </c>
      <c r="F140" s="5">
        <f t="shared" si="18"/>
        <v>1153.2771381062755</v>
      </c>
      <c r="G140" s="6">
        <f t="shared" si="19"/>
        <v>56.88</v>
      </c>
      <c r="H140" s="5">
        <f t="shared" si="20"/>
        <v>1210.1571381062756</v>
      </c>
      <c r="I140" s="3" t="str">
        <f t="shared" si="22"/>
        <v>Unpaid</v>
      </c>
      <c r="J140" s="6">
        <f t="shared" si="23"/>
        <v>244136.17839313796</v>
      </c>
    </row>
    <row r="141" spans="2:10">
      <c r="B141" s="3" cm="1">
        <f t="array" ref="B141">IF(ROW()-ROW($B$7)&lt;=duration,ROW()-ROW($B$7),"")</f>
        <v>134</v>
      </c>
      <c r="C141" s="4">
        <f t="shared" si="21"/>
        <v>49618</v>
      </c>
      <c r="D141" s="6">
        <f t="shared" si="16"/>
        <v>786.89307239158768</v>
      </c>
      <c r="E141" s="6">
        <f t="shared" si="17"/>
        <v>366.38406571468784</v>
      </c>
      <c r="F141" s="5">
        <f t="shared" si="18"/>
        <v>1153.2771381062755</v>
      </c>
      <c r="G141" s="6">
        <f t="shared" si="19"/>
        <v>56.88</v>
      </c>
      <c r="H141" s="5">
        <f t="shared" si="20"/>
        <v>1210.1571381062756</v>
      </c>
      <c r="I141" s="3" t="str">
        <f t="shared" si="22"/>
        <v>Unpaid</v>
      </c>
      <c r="J141" s="6">
        <f t="shared" si="23"/>
        <v>244136.17839313796</v>
      </c>
    </row>
    <row r="142" spans="2:10">
      <c r="B142" s="3" cm="1">
        <f t="array" ref="B142">IF(ROW()-ROW($B$7)&lt;=duration,ROW()-ROW($B$7),"")</f>
        <v>135</v>
      </c>
      <c r="C142" s="4">
        <f t="shared" si="21"/>
        <v>49648</v>
      </c>
      <c r="D142" s="6">
        <f t="shared" si="16"/>
        <v>788.69636901581839</v>
      </c>
      <c r="E142" s="6">
        <f t="shared" si="17"/>
        <v>364.58076909045718</v>
      </c>
      <c r="F142" s="5">
        <f t="shared" si="18"/>
        <v>1153.2771381062755</v>
      </c>
      <c r="G142" s="6">
        <f t="shared" si="19"/>
        <v>56.88</v>
      </c>
      <c r="H142" s="5">
        <f t="shared" si="20"/>
        <v>1210.1571381062756</v>
      </c>
      <c r="I142" s="3" t="str">
        <f t="shared" si="22"/>
        <v>Unpaid</v>
      </c>
      <c r="J142" s="6">
        <f t="shared" si="23"/>
        <v>244136.17839313796</v>
      </c>
    </row>
    <row r="143" spans="2:10">
      <c r="B143" s="3" cm="1">
        <f t="array" ref="B143">IF(ROW()-ROW($B$7)&lt;=duration,ROW()-ROW($B$7),"")</f>
        <v>136</v>
      </c>
      <c r="C143" s="4">
        <f t="shared" si="21"/>
        <v>49679</v>
      </c>
      <c r="D143" s="6">
        <f t="shared" si="16"/>
        <v>790.50379819481293</v>
      </c>
      <c r="E143" s="6">
        <f t="shared" si="17"/>
        <v>362.77333991146259</v>
      </c>
      <c r="F143" s="5">
        <f t="shared" si="18"/>
        <v>1153.2771381062755</v>
      </c>
      <c r="G143" s="6">
        <f t="shared" si="19"/>
        <v>56.88</v>
      </c>
      <c r="H143" s="5">
        <f t="shared" si="20"/>
        <v>1210.1571381062756</v>
      </c>
      <c r="I143" s="3" t="str">
        <f t="shared" si="22"/>
        <v>Unpaid</v>
      </c>
      <c r="J143" s="6">
        <f t="shared" si="23"/>
        <v>244136.17839313796</v>
      </c>
    </row>
    <row r="144" spans="2:10">
      <c r="B144" s="3" cm="1">
        <f t="array" ref="B144">IF(ROW()-ROW($B$7)&lt;=duration,ROW()-ROW($B$7),"")</f>
        <v>137</v>
      </c>
      <c r="C144" s="4">
        <f t="shared" si="21"/>
        <v>49710</v>
      </c>
      <c r="D144" s="6">
        <f t="shared" si="16"/>
        <v>792.31536939900946</v>
      </c>
      <c r="E144" s="6">
        <f t="shared" si="17"/>
        <v>360.96176870726606</v>
      </c>
      <c r="F144" s="5">
        <f t="shared" si="18"/>
        <v>1153.2771381062755</v>
      </c>
      <c r="G144" s="6">
        <f t="shared" si="19"/>
        <v>56.88</v>
      </c>
      <c r="H144" s="5">
        <f t="shared" si="20"/>
        <v>1210.1571381062756</v>
      </c>
      <c r="I144" s="3" t="str">
        <f t="shared" si="22"/>
        <v>Unpaid</v>
      </c>
      <c r="J144" s="6">
        <f t="shared" si="23"/>
        <v>244136.17839313796</v>
      </c>
    </row>
    <row r="145" spans="2:10">
      <c r="B145" s="3" cm="1">
        <f t="array" ref="B145">IF(ROW()-ROW($B$7)&lt;=duration,ROW()-ROW($B$7),"")</f>
        <v>138</v>
      </c>
      <c r="C145" s="4">
        <f t="shared" si="21"/>
        <v>49739</v>
      </c>
      <c r="D145" s="6">
        <f t="shared" si="16"/>
        <v>794.13109212054883</v>
      </c>
      <c r="E145" s="6">
        <f t="shared" si="17"/>
        <v>359.14604598572669</v>
      </c>
      <c r="F145" s="5">
        <f t="shared" si="18"/>
        <v>1153.2771381062755</v>
      </c>
      <c r="G145" s="6">
        <f t="shared" si="19"/>
        <v>56.88</v>
      </c>
      <c r="H145" s="5">
        <f t="shared" si="20"/>
        <v>1210.1571381062756</v>
      </c>
      <c r="I145" s="3" t="str">
        <f t="shared" si="22"/>
        <v>Unpaid</v>
      </c>
      <c r="J145" s="6">
        <f t="shared" si="23"/>
        <v>244136.17839313796</v>
      </c>
    </row>
    <row r="146" spans="2:10">
      <c r="B146" s="3" cm="1">
        <f t="array" ref="B146">IF(ROW()-ROW($B$7)&lt;=duration,ROW()-ROW($B$7),"")</f>
        <v>139</v>
      </c>
      <c r="C146" s="4">
        <f t="shared" si="21"/>
        <v>49770</v>
      </c>
      <c r="D146" s="6">
        <f t="shared" si="16"/>
        <v>795.95097587332498</v>
      </c>
      <c r="E146" s="6">
        <f t="shared" si="17"/>
        <v>357.32616223295048</v>
      </c>
      <c r="F146" s="5">
        <f t="shared" si="18"/>
        <v>1153.2771381062755</v>
      </c>
      <c r="G146" s="6">
        <f t="shared" si="19"/>
        <v>56.88</v>
      </c>
      <c r="H146" s="5">
        <f t="shared" si="20"/>
        <v>1210.1571381062756</v>
      </c>
      <c r="I146" s="3" t="str">
        <f t="shared" si="22"/>
        <v>Unpaid</v>
      </c>
      <c r="J146" s="6">
        <f t="shared" si="23"/>
        <v>244136.17839313796</v>
      </c>
    </row>
    <row r="147" spans="2:10">
      <c r="B147" s="3" cm="1">
        <f t="array" ref="B147">IF(ROW()-ROW($B$7)&lt;=duration,ROW()-ROW($B$7),"")</f>
        <v>140</v>
      </c>
      <c r="C147" s="4">
        <f t="shared" si="21"/>
        <v>49800</v>
      </c>
      <c r="D147" s="6">
        <f t="shared" si="16"/>
        <v>797.77503019303481</v>
      </c>
      <c r="E147" s="6">
        <f t="shared" si="17"/>
        <v>355.50210791324076</v>
      </c>
      <c r="F147" s="5">
        <f t="shared" si="18"/>
        <v>1153.2771381062755</v>
      </c>
      <c r="G147" s="6">
        <f t="shared" si="19"/>
        <v>56.88</v>
      </c>
      <c r="H147" s="5">
        <f t="shared" si="20"/>
        <v>1210.1571381062756</v>
      </c>
      <c r="I147" s="3" t="str">
        <f t="shared" si="22"/>
        <v>Unpaid</v>
      </c>
      <c r="J147" s="6">
        <f t="shared" si="23"/>
        <v>244136.17839313796</v>
      </c>
    </row>
    <row r="148" spans="2:10">
      <c r="B148" s="3" cm="1">
        <f t="array" ref="B148">IF(ROW()-ROW($B$7)&lt;=duration,ROW()-ROW($B$7),"")</f>
        <v>141</v>
      </c>
      <c r="C148" s="4">
        <f t="shared" si="21"/>
        <v>49831</v>
      </c>
      <c r="D148" s="6">
        <f t="shared" si="16"/>
        <v>799.60326463722708</v>
      </c>
      <c r="E148" s="6">
        <f t="shared" si="17"/>
        <v>353.67387346904843</v>
      </c>
      <c r="F148" s="5">
        <f t="shared" si="18"/>
        <v>1153.2771381062755</v>
      </c>
      <c r="G148" s="6">
        <f t="shared" si="19"/>
        <v>56.88</v>
      </c>
      <c r="H148" s="5">
        <f t="shared" si="20"/>
        <v>1210.1571381062756</v>
      </c>
      <c r="I148" s="3" t="str">
        <f t="shared" si="22"/>
        <v>Unpaid</v>
      </c>
      <c r="J148" s="6">
        <f t="shared" si="23"/>
        <v>244136.17839313796</v>
      </c>
    </row>
    <row r="149" spans="2:10">
      <c r="B149" s="3" cm="1">
        <f t="array" ref="B149">IF(ROW()-ROW($B$7)&lt;=duration,ROW()-ROW($B$7),"")</f>
        <v>142</v>
      </c>
      <c r="C149" s="4">
        <f t="shared" si="21"/>
        <v>49861</v>
      </c>
      <c r="D149" s="6">
        <f t="shared" si="16"/>
        <v>801.43568878535416</v>
      </c>
      <c r="E149" s="6">
        <f t="shared" si="17"/>
        <v>351.84144932092141</v>
      </c>
      <c r="F149" s="5">
        <f t="shared" si="18"/>
        <v>1153.2771381062755</v>
      </c>
      <c r="G149" s="6">
        <f t="shared" si="19"/>
        <v>56.88</v>
      </c>
      <c r="H149" s="5">
        <f t="shared" si="20"/>
        <v>1210.1571381062756</v>
      </c>
      <c r="I149" s="3" t="str">
        <f t="shared" si="22"/>
        <v>Unpaid</v>
      </c>
      <c r="J149" s="6">
        <f t="shared" si="23"/>
        <v>244136.17839313796</v>
      </c>
    </row>
    <row r="150" spans="2:10">
      <c r="B150" s="3" cm="1">
        <f t="array" ref="B150">IF(ROW()-ROW($B$7)&lt;=duration,ROW()-ROW($B$7),"")</f>
        <v>143</v>
      </c>
      <c r="C150" s="4">
        <f t="shared" si="21"/>
        <v>49892</v>
      </c>
      <c r="D150" s="6">
        <f t="shared" si="16"/>
        <v>803.27231223882052</v>
      </c>
      <c r="E150" s="6">
        <f t="shared" si="17"/>
        <v>350.004825867455</v>
      </c>
      <c r="F150" s="5">
        <f t="shared" si="18"/>
        <v>1153.2771381062755</v>
      </c>
      <c r="G150" s="6">
        <f t="shared" si="19"/>
        <v>56.88</v>
      </c>
      <c r="H150" s="5">
        <f t="shared" si="20"/>
        <v>1210.1571381062756</v>
      </c>
      <c r="I150" s="3" t="str">
        <f t="shared" si="22"/>
        <v>Unpaid</v>
      </c>
      <c r="J150" s="6">
        <f t="shared" si="23"/>
        <v>244136.17839313796</v>
      </c>
    </row>
    <row r="151" spans="2:10">
      <c r="B151" s="3" cm="1">
        <f t="array" ref="B151">IF(ROW()-ROW($B$7)&lt;=duration,ROW()-ROW($B$7),"")</f>
        <v>144</v>
      </c>
      <c r="C151" s="4">
        <f t="shared" si="21"/>
        <v>49923</v>
      </c>
      <c r="D151" s="6">
        <f t="shared" si="16"/>
        <v>805.11314462103451</v>
      </c>
      <c r="E151" s="6">
        <f t="shared" si="17"/>
        <v>348.16399348524101</v>
      </c>
      <c r="F151" s="5">
        <f t="shared" si="18"/>
        <v>1153.2771381062755</v>
      </c>
      <c r="G151" s="6">
        <f t="shared" si="19"/>
        <v>56.88</v>
      </c>
      <c r="H151" s="5">
        <f t="shared" si="20"/>
        <v>1210.1571381062756</v>
      </c>
      <c r="I151" s="3" t="str">
        <f t="shared" si="22"/>
        <v>Unpaid</v>
      </c>
      <c r="J151" s="6">
        <f t="shared" si="23"/>
        <v>244136.17839313796</v>
      </c>
    </row>
    <row r="152" spans="2:10">
      <c r="B152" s="3" cm="1">
        <f t="array" ref="B152">IF(ROW()-ROW($B$7)&lt;=duration,ROW()-ROW($B$7),"")</f>
        <v>145</v>
      </c>
      <c r="C152" s="4">
        <f t="shared" si="21"/>
        <v>49953</v>
      </c>
      <c r="D152" s="6">
        <f t="shared" si="16"/>
        <v>806.95819557745767</v>
      </c>
      <c r="E152" s="6">
        <f t="shared" si="17"/>
        <v>346.31894252881784</v>
      </c>
      <c r="F152" s="5">
        <f t="shared" si="18"/>
        <v>1153.2771381062755</v>
      </c>
      <c r="G152" s="6">
        <f t="shared" si="19"/>
        <v>56.88</v>
      </c>
      <c r="H152" s="5">
        <f t="shared" si="20"/>
        <v>1210.1571381062756</v>
      </c>
      <c r="I152" s="3" t="str">
        <f t="shared" si="22"/>
        <v>Unpaid</v>
      </c>
      <c r="J152" s="6">
        <f t="shared" si="23"/>
        <v>244136.17839313796</v>
      </c>
    </row>
    <row r="153" spans="2:10">
      <c r="B153" s="3" cm="1">
        <f t="array" ref="B153">IF(ROW()-ROW($B$7)&lt;=duration,ROW()-ROW($B$7),"")</f>
        <v>146</v>
      </c>
      <c r="C153" s="4">
        <f t="shared" si="21"/>
        <v>49984</v>
      </c>
      <c r="D153" s="6">
        <f t="shared" si="16"/>
        <v>808.80747477565603</v>
      </c>
      <c r="E153" s="6">
        <f t="shared" si="17"/>
        <v>344.46966333061948</v>
      </c>
      <c r="F153" s="5">
        <f t="shared" si="18"/>
        <v>1153.2771381062755</v>
      </c>
      <c r="G153" s="6">
        <f t="shared" si="19"/>
        <v>56.88</v>
      </c>
      <c r="H153" s="5">
        <f t="shared" si="20"/>
        <v>1210.1571381062756</v>
      </c>
      <c r="I153" s="3" t="str">
        <f t="shared" si="22"/>
        <v>Unpaid</v>
      </c>
      <c r="J153" s="6">
        <f t="shared" si="23"/>
        <v>244136.17839313796</v>
      </c>
    </row>
    <row r="154" spans="2:10">
      <c r="B154" s="3" cm="1">
        <f t="array" ref="B154">IF(ROW()-ROW($B$7)&lt;=duration,ROW()-ROW($B$7),"")</f>
        <v>147</v>
      </c>
      <c r="C154" s="4">
        <f t="shared" si="21"/>
        <v>50014</v>
      </c>
      <c r="D154" s="6">
        <f t="shared" si="16"/>
        <v>810.66099190535022</v>
      </c>
      <c r="E154" s="6">
        <f t="shared" si="17"/>
        <v>342.6161462009253</v>
      </c>
      <c r="F154" s="5">
        <f t="shared" si="18"/>
        <v>1153.2771381062755</v>
      </c>
      <c r="G154" s="6">
        <f t="shared" si="19"/>
        <v>56.88</v>
      </c>
      <c r="H154" s="5">
        <f t="shared" si="20"/>
        <v>1210.1571381062756</v>
      </c>
      <c r="I154" s="3" t="str">
        <f t="shared" si="22"/>
        <v>Unpaid</v>
      </c>
      <c r="J154" s="6">
        <f t="shared" si="23"/>
        <v>244136.17839313796</v>
      </c>
    </row>
    <row r="155" spans="2:10">
      <c r="B155" s="3" cm="1">
        <f t="array" ref="B155">IF(ROW()-ROW($B$7)&lt;=duration,ROW()-ROW($B$7),"")</f>
        <v>148</v>
      </c>
      <c r="C155" s="4">
        <f t="shared" si="21"/>
        <v>50045</v>
      </c>
      <c r="D155" s="6">
        <f t="shared" si="16"/>
        <v>812.51875667846662</v>
      </c>
      <c r="E155" s="6">
        <f t="shared" si="17"/>
        <v>340.75838142780884</v>
      </c>
      <c r="F155" s="5">
        <f t="shared" si="18"/>
        <v>1153.2771381062755</v>
      </c>
      <c r="G155" s="6">
        <f t="shared" si="19"/>
        <v>56.88</v>
      </c>
      <c r="H155" s="5">
        <f t="shared" si="20"/>
        <v>1210.1571381062756</v>
      </c>
      <c r="I155" s="3" t="str">
        <f t="shared" si="22"/>
        <v>Unpaid</v>
      </c>
      <c r="J155" s="6">
        <f t="shared" si="23"/>
        <v>244136.17839313796</v>
      </c>
    </row>
    <row r="156" spans="2:10">
      <c r="B156" s="3" cm="1">
        <f t="array" ref="B156">IF(ROW()-ROW($B$7)&lt;=duration,ROW()-ROW($B$7),"")</f>
        <v>149</v>
      </c>
      <c r="C156" s="4">
        <f t="shared" si="21"/>
        <v>50076</v>
      </c>
      <c r="D156" s="6">
        <f t="shared" si="16"/>
        <v>814.3807788291881</v>
      </c>
      <c r="E156" s="6">
        <f t="shared" si="17"/>
        <v>338.89635927708736</v>
      </c>
      <c r="F156" s="5">
        <f t="shared" si="18"/>
        <v>1153.2771381062755</v>
      </c>
      <c r="G156" s="6">
        <f t="shared" si="19"/>
        <v>56.88</v>
      </c>
      <c r="H156" s="5">
        <f t="shared" si="20"/>
        <v>1210.1571381062756</v>
      </c>
      <c r="I156" s="3" t="str">
        <f t="shared" si="22"/>
        <v>Unpaid</v>
      </c>
      <c r="J156" s="6">
        <f t="shared" si="23"/>
        <v>244136.17839313796</v>
      </c>
    </row>
    <row r="157" spans="2:10">
      <c r="B157" s="3" cm="1">
        <f t="array" ref="B157">IF(ROW()-ROW($B$7)&lt;=duration,ROW()-ROW($B$7),"")</f>
        <v>150</v>
      </c>
      <c r="C157" s="4">
        <f t="shared" si="21"/>
        <v>50104</v>
      </c>
      <c r="D157" s="6">
        <f t="shared" si="16"/>
        <v>816.24706811400506</v>
      </c>
      <c r="E157" s="6">
        <f t="shared" si="17"/>
        <v>337.03006999227051</v>
      </c>
      <c r="F157" s="5">
        <f t="shared" si="18"/>
        <v>1153.2771381062755</v>
      </c>
      <c r="G157" s="6">
        <f t="shared" si="19"/>
        <v>56.88</v>
      </c>
      <c r="H157" s="5">
        <f t="shared" si="20"/>
        <v>1210.1571381062756</v>
      </c>
      <c r="I157" s="3" t="str">
        <f t="shared" si="22"/>
        <v>Unpaid</v>
      </c>
      <c r="J157" s="6">
        <f t="shared" si="23"/>
        <v>244136.17839313796</v>
      </c>
    </row>
    <row r="158" spans="2:10">
      <c r="B158" s="3" cm="1">
        <f t="array" ref="B158">IF(ROW()-ROW($B$7)&lt;=duration,ROW()-ROW($B$7),"")</f>
        <v>151</v>
      </c>
      <c r="C158" s="4">
        <f t="shared" si="21"/>
        <v>50135</v>
      </c>
      <c r="D158" s="6">
        <f t="shared" si="16"/>
        <v>818.11763431176632</v>
      </c>
      <c r="E158" s="6">
        <f t="shared" si="17"/>
        <v>335.15950379450919</v>
      </c>
      <c r="F158" s="5">
        <f t="shared" si="18"/>
        <v>1153.2771381062755</v>
      </c>
      <c r="G158" s="6">
        <f t="shared" si="19"/>
        <v>56.88</v>
      </c>
      <c r="H158" s="5">
        <f t="shared" si="20"/>
        <v>1210.1571381062756</v>
      </c>
      <c r="I158" s="3" t="str">
        <f t="shared" si="22"/>
        <v>Unpaid</v>
      </c>
      <c r="J158" s="6">
        <f t="shared" si="23"/>
        <v>244136.17839313796</v>
      </c>
    </row>
    <row r="159" spans="2:10">
      <c r="B159" s="3" cm="1">
        <f t="array" ref="B159">IF(ROW()-ROW($B$7)&lt;=duration,ROW()-ROW($B$7),"")</f>
        <v>152</v>
      </c>
      <c r="C159" s="4">
        <f t="shared" si="21"/>
        <v>50165</v>
      </c>
      <c r="D159" s="6">
        <f t="shared" si="16"/>
        <v>819.99248722373079</v>
      </c>
      <c r="E159" s="6">
        <f t="shared" si="17"/>
        <v>333.28465088254472</v>
      </c>
      <c r="F159" s="5">
        <f t="shared" si="18"/>
        <v>1153.2771381062755</v>
      </c>
      <c r="G159" s="6">
        <f t="shared" si="19"/>
        <v>56.88</v>
      </c>
      <c r="H159" s="5">
        <f t="shared" si="20"/>
        <v>1210.1571381062756</v>
      </c>
      <c r="I159" s="3" t="str">
        <f t="shared" si="22"/>
        <v>Unpaid</v>
      </c>
      <c r="J159" s="6">
        <f t="shared" si="23"/>
        <v>244136.17839313796</v>
      </c>
    </row>
    <row r="160" spans="2:10">
      <c r="B160" s="3" cm="1">
        <f t="array" ref="B160">IF(ROW()-ROW($B$7)&lt;=duration,ROW()-ROW($B$7),"")</f>
        <v>153</v>
      </c>
      <c r="C160" s="4">
        <f t="shared" si="21"/>
        <v>50196</v>
      </c>
      <c r="D160" s="6">
        <f t="shared" si="16"/>
        <v>821.87163667361847</v>
      </c>
      <c r="E160" s="6">
        <f t="shared" si="17"/>
        <v>331.40550143265705</v>
      </c>
      <c r="F160" s="5">
        <f t="shared" si="18"/>
        <v>1153.2771381062755</v>
      </c>
      <c r="G160" s="6">
        <f t="shared" si="19"/>
        <v>56.88</v>
      </c>
      <c r="H160" s="5">
        <f t="shared" si="20"/>
        <v>1210.1571381062756</v>
      </c>
      <c r="I160" s="3" t="str">
        <f t="shared" si="22"/>
        <v>Unpaid</v>
      </c>
      <c r="J160" s="6">
        <f t="shared" si="23"/>
        <v>244136.17839313796</v>
      </c>
    </row>
    <row r="161" spans="2:10">
      <c r="B161" s="3" cm="1">
        <f t="array" ref="B161">IF(ROW()-ROW($B$7)&lt;=duration,ROW()-ROW($B$7),"")</f>
        <v>154</v>
      </c>
      <c r="C161" s="4">
        <f t="shared" si="21"/>
        <v>50226</v>
      </c>
      <c r="D161" s="6">
        <f t="shared" si="16"/>
        <v>823.7550925076622</v>
      </c>
      <c r="E161" s="6">
        <f t="shared" si="17"/>
        <v>329.52204559861332</v>
      </c>
      <c r="F161" s="5">
        <f t="shared" si="18"/>
        <v>1153.2771381062755</v>
      </c>
      <c r="G161" s="6">
        <f t="shared" si="19"/>
        <v>56.88</v>
      </c>
      <c r="H161" s="5">
        <f t="shared" si="20"/>
        <v>1210.1571381062756</v>
      </c>
      <c r="I161" s="3" t="str">
        <f t="shared" si="22"/>
        <v>Unpaid</v>
      </c>
      <c r="J161" s="6">
        <f t="shared" si="23"/>
        <v>244136.17839313796</v>
      </c>
    </row>
    <row r="162" spans="2:10">
      <c r="B162" s="3" cm="1">
        <f t="array" ref="B162">IF(ROW()-ROW($B$7)&lt;=duration,ROW()-ROW($B$7),"")</f>
        <v>155</v>
      </c>
      <c r="C162" s="4">
        <f t="shared" si="21"/>
        <v>50257</v>
      </c>
      <c r="D162" s="6">
        <f t="shared" si="16"/>
        <v>825.64286459465893</v>
      </c>
      <c r="E162" s="6">
        <f t="shared" si="17"/>
        <v>327.63427351161658</v>
      </c>
      <c r="F162" s="5">
        <f t="shared" si="18"/>
        <v>1153.2771381062755</v>
      </c>
      <c r="G162" s="6">
        <f t="shared" si="19"/>
        <v>56.88</v>
      </c>
      <c r="H162" s="5">
        <f t="shared" si="20"/>
        <v>1210.1571381062756</v>
      </c>
      <c r="I162" s="3" t="str">
        <f t="shared" si="22"/>
        <v>Unpaid</v>
      </c>
      <c r="J162" s="6">
        <f t="shared" si="23"/>
        <v>244136.17839313796</v>
      </c>
    </row>
    <row r="163" spans="2:10">
      <c r="B163" s="3" cm="1">
        <f t="array" ref="B163">IF(ROW()-ROW($B$7)&lt;=duration,ROW()-ROW($B$7),"")</f>
        <v>156</v>
      </c>
      <c r="C163" s="4">
        <f t="shared" si="21"/>
        <v>50288</v>
      </c>
      <c r="D163" s="6">
        <f t="shared" si="16"/>
        <v>827.53496282602168</v>
      </c>
      <c r="E163" s="6">
        <f t="shared" si="17"/>
        <v>325.74217528025378</v>
      </c>
      <c r="F163" s="5">
        <f t="shared" si="18"/>
        <v>1153.2771381062755</v>
      </c>
      <c r="G163" s="6">
        <f t="shared" si="19"/>
        <v>56.88</v>
      </c>
      <c r="H163" s="5">
        <f t="shared" si="20"/>
        <v>1210.1571381062756</v>
      </c>
      <c r="I163" s="3" t="str">
        <f t="shared" si="22"/>
        <v>Unpaid</v>
      </c>
      <c r="J163" s="6">
        <f t="shared" si="23"/>
        <v>244136.17839313796</v>
      </c>
    </row>
    <row r="164" spans="2:10">
      <c r="B164" s="3" cm="1">
        <f t="array" ref="B164">IF(ROW()-ROW($B$7)&lt;=duration,ROW()-ROW($B$7),"")</f>
        <v>157</v>
      </c>
      <c r="C164" s="4">
        <f t="shared" si="21"/>
        <v>50318</v>
      </c>
      <c r="D164" s="6">
        <f t="shared" si="16"/>
        <v>829.43139711583126</v>
      </c>
      <c r="E164" s="6">
        <f t="shared" si="17"/>
        <v>323.8457409904442</v>
      </c>
      <c r="F164" s="5">
        <f t="shared" si="18"/>
        <v>1153.2771381062755</v>
      </c>
      <c r="G164" s="6">
        <f t="shared" si="19"/>
        <v>56.88</v>
      </c>
      <c r="H164" s="5">
        <f t="shared" si="20"/>
        <v>1210.1571381062756</v>
      </c>
      <c r="I164" s="3" t="str">
        <f t="shared" si="22"/>
        <v>Unpaid</v>
      </c>
      <c r="J164" s="6">
        <f t="shared" si="23"/>
        <v>244136.17839313796</v>
      </c>
    </row>
    <row r="165" spans="2:10">
      <c r="B165" s="3" cm="1">
        <f t="array" ref="B165">IF(ROW()-ROW($B$7)&lt;=duration,ROW()-ROW($B$7),"")</f>
        <v>158</v>
      </c>
      <c r="C165" s="4">
        <f t="shared" si="21"/>
        <v>50349</v>
      </c>
      <c r="D165" s="6">
        <f t="shared" si="16"/>
        <v>831.33217740088844</v>
      </c>
      <c r="E165" s="6">
        <f t="shared" si="17"/>
        <v>321.94496070538707</v>
      </c>
      <c r="F165" s="5">
        <f t="shared" si="18"/>
        <v>1153.2771381062755</v>
      </c>
      <c r="G165" s="6">
        <f t="shared" si="19"/>
        <v>56.88</v>
      </c>
      <c r="H165" s="5">
        <f t="shared" si="20"/>
        <v>1210.1571381062756</v>
      </c>
      <c r="I165" s="3" t="str">
        <f t="shared" si="22"/>
        <v>Unpaid</v>
      </c>
      <c r="J165" s="6">
        <f t="shared" si="23"/>
        <v>244136.17839313796</v>
      </c>
    </row>
    <row r="166" spans="2:10">
      <c r="B166" s="3" cm="1">
        <f t="array" ref="B166">IF(ROW()-ROW($B$7)&lt;=duration,ROW()-ROW($B$7),"")</f>
        <v>159</v>
      </c>
      <c r="C166" s="4">
        <f t="shared" si="21"/>
        <v>50379</v>
      </c>
      <c r="D166" s="6">
        <f t="shared" si="16"/>
        <v>833.23731364076548</v>
      </c>
      <c r="E166" s="6">
        <f t="shared" si="17"/>
        <v>320.03982446551004</v>
      </c>
      <c r="F166" s="5">
        <f t="shared" si="18"/>
        <v>1153.2771381062755</v>
      </c>
      <c r="G166" s="6">
        <f t="shared" si="19"/>
        <v>56.88</v>
      </c>
      <c r="H166" s="5">
        <f t="shared" si="20"/>
        <v>1210.1571381062756</v>
      </c>
      <c r="I166" s="3" t="str">
        <f t="shared" si="22"/>
        <v>Unpaid</v>
      </c>
      <c r="J166" s="6">
        <f t="shared" si="23"/>
        <v>244136.17839313796</v>
      </c>
    </row>
    <row r="167" spans="2:10">
      <c r="B167" s="3" cm="1">
        <f t="array" ref="B167">IF(ROW()-ROW($B$7)&lt;=duration,ROW()-ROW($B$7),"")</f>
        <v>160</v>
      </c>
      <c r="C167" s="4">
        <f t="shared" si="21"/>
        <v>50410</v>
      </c>
      <c r="D167" s="6">
        <f t="shared" si="16"/>
        <v>835.14681581785885</v>
      </c>
      <c r="E167" s="6">
        <f t="shared" si="17"/>
        <v>318.13032228841661</v>
      </c>
      <c r="F167" s="5">
        <f t="shared" si="18"/>
        <v>1153.2771381062755</v>
      </c>
      <c r="G167" s="6">
        <f t="shared" si="19"/>
        <v>56.88</v>
      </c>
      <c r="H167" s="5">
        <f t="shared" si="20"/>
        <v>1210.1571381062756</v>
      </c>
      <c r="I167" s="3" t="str">
        <f t="shared" si="22"/>
        <v>Unpaid</v>
      </c>
      <c r="J167" s="6">
        <f t="shared" si="23"/>
        <v>244136.17839313796</v>
      </c>
    </row>
    <row r="168" spans="2:10">
      <c r="B168" s="3" cm="1">
        <f t="array" ref="B168">IF(ROW()-ROW($B$7)&lt;=duration,ROW()-ROW($B$7),"")</f>
        <v>161</v>
      </c>
      <c r="C168" s="4">
        <f t="shared" si="21"/>
        <v>50441</v>
      </c>
      <c r="D168" s="6">
        <f t="shared" si="16"/>
        <v>837.06069393744156</v>
      </c>
      <c r="E168" s="6">
        <f t="shared" si="17"/>
        <v>316.21644416883402</v>
      </c>
      <c r="F168" s="5">
        <f t="shared" si="18"/>
        <v>1153.2771381062755</v>
      </c>
      <c r="G168" s="6">
        <f t="shared" si="19"/>
        <v>56.88</v>
      </c>
      <c r="H168" s="5">
        <f t="shared" si="20"/>
        <v>1210.1571381062756</v>
      </c>
      <c r="I168" s="3" t="str">
        <f t="shared" si="22"/>
        <v>Unpaid</v>
      </c>
      <c r="J168" s="6">
        <f t="shared" si="23"/>
        <v>244136.17839313796</v>
      </c>
    </row>
    <row r="169" spans="2:10">
      <c r="B169" s="3" cm="1">
        <f t="array" ref="B169">IF(ROW()-ROW($B$7)&lt;=duration,ROW()-ROW($B$7),"")</f>
        <v>162</v>
      </c>
      <c r="C169" s="4">
        <f t="shared" si="21"/>
        <v>50469</v>
      </c>
      <c r="D169" s="6">
        <f t="shared" si="16"/>
        <v>838.97895802771473</v>
      </c>
      <c r="E169" s="6">
        <f t="shared" si="17"/>
        <v>314.29818007856073</v>
      </c>
      <c r="F169" s="5">
        <f t="shared" si="18"/>
        <v>1153.2771381062755</v>
      </c>
      <c r="G169" s="6">
        <f t="shared" si="19"/>
        <v>56.88</v>
      </c>
      <c r="H169" s="5">
        <f t="shared" si="20"/>
        <v>1210.1571381062756</v>
      </c>
      <c r="I169" s="3" t="str">
        <f t="shared" si="22"/>
        <v>Unpaid</v>
      </c>
      <c r="J169" s="6">
        <f t="shared" si="23"/>
        <v>244136.17839313796</v>
      </c>
    </row>
    <row r="170" spans="2:10">
      <c r="B170" s="3" cm="1">
        <f t="array" ref="B170">IF(ROW()-ROW($B$7)&lt;=duration,ROW()-ROW($B$7),"")</f>
        <v>163</v>
      </c>
      <c r="C170" s="4">
        <f t="shared" si="21"/>
        <v>50500</v>
      </c>
      <c r="D170" s="6">
        <f t="shared" si="16"/>
        <v>840.90161813986174</v>
      </c>
      <c r="E170" s="6">
        <f t="shared" si="17"/>
        <v>312.37551996641383</v>
      </c>
      <c r="F170" s="5">
        <f t="shared" si="18"/>
        <v>1153.2771381062755</v>
      </c>
      <c r="G170" s="6">
        <f t="shared" si="19"/>
        <v>56.88</v>
      </c>
      <c r="H170" s="5">
        <f t="shared" si="20"/>
        <v>1210.1571381062756</v>
      </c>
      <c r="I170" s="3" t="str">
        <f t="shared" si="22"/>
        <v>Unpaid</v>
      </c>
      <c r="J170" s="6">
        <f t="shared" si="23"/>
        <v>244136.17839313796</v>
      </c>
    </row>
    <row r="171" spans="2:10">
      <c r="B171" s="3" cm="1">
        <f t="array" ref="B171">IF(ROW()-ROW($B$7)&lt;=duration,ROW()-ROW($B$7),"")</f>
        <v>164</v>
      </c>
      <c r="C171" s="4">
        <f t="shared" si="21"/>
        <v>50530</v>
      </c>
      <c r="D171" s="6">
        <f t="shared" si="16"/>
        <v>842.82868434809882</v>
      </c>
      <c r="E171" s="6">
        <f t="shared" si="17"/>
        <v>310.4484537581767</v>
      </c>
      <c r="F171" s="5">
        <f t="shared" si="18"/>
        <v>1153.2771381062755</v>
      </c>
      <c r="G171" s="6">
        <f t="shared" si="19"/>
        <v>56.88</v>
      </c>
      <c r="H171" s="5">
        <f t="shared" si="20"/>
        <v>1210.1571381062756</v>
      </c>
      <c r="I171" s="3" t="str">
        <f t="shared" si="22"/>
        <v>Unpaid</v>
      </c>
      <c r="J171" s="6">
        <f t="shared" si="23"/>
        <v>244136.17839313796</v>
      </c>
    </row>
    <row r="172" spans="2:10">
      <c r="B172" s="3" cm="1">
        <f t="array" ref="B172">IF(ROW()-ROW($B$7)&lt;=duration,ROW()-ROW($B$7),"")</f>
        <v>165</v>
      </c>
      <c r="C172" s="4">
        <f t="shared" si="21"/>
        <v>50561</v>
      </c>
      <c r="D172" s="6">
        <f t="shared" si="16"/>
        <v>844.76016674972993</v>
      </c>
      <c r="E172" s="6">
        <f t="shared" si="17"/>
        <v>308.51697135654564</v>
      </c>
      <c r="F172" s="5">
        <f t="shared" si="18"/>
        <v>1153.2771381062755</v>
      </c>
      <c r="G172" s="6">
        <f t="shared" si="19"/>
        <v>56.88</v>
      </c>
      <c r="H172" s="5">
        <f t="shared" si="20"/>
        <v>1210.1571381062756</v>
      </c>
      <c r="I172" s="3" t="str">
        <f t="shared" si="22"/>
        <v>Unpaid</v>
      </c>
      <c r="J172" s="6">
        <f t="shared" si="23"/>
        <v>244136.17839313796</v>
      </c>
    </row>
    <row r="173" spans="2:10">
      <c r="B173" s="3" cm="1">
        <f t="array" ref="B173">IF(ROW()-ROW($B$7)&lt;=duration,ROW()-ROW($B$7),"")</f>
        <v>166</v>
      </c>
      <c r="C173" s="4">
        <f t="shared" si="21"/>
        <v>50591</v>
      </c>
      <c r="D173" s="6">
        <f t="shared" si="16"/>
        <v>846.69607546519796</v>
      </c>
      <c r="E173" s="6">
        <f t="shared" si="17"/>
        <v>306.58106264107749</v>
      </c>
      <c r="F173" s="5">
        <f t="shared" si="18"/>
        <v>1153.2771381062755</v>
      </c>
      <c r="G173" s="6">
        <f t="shared" si="19"/>
        <v>56.88</v>
      </c>
      <c r="H173" s="5">
        <f t="shared" si="20"/>
        <v>1210.1571381062756</v>
      </c>
      <c r="I173" s="3" t="str">
        <f t="shared" si="22"/>
        <v>Unpaid</v>
      </c>
      <c r="J173" s="6">
        <f t="shared" si="23"/>
        <v>244136.17839313796</v>
      </c>
    </row>
    <row r="174" spans="2:10">
      <c r="B174" s="3" cm="1">
        <f t="array" ref="B174">IF(ROW()-ROW($B$7)&lt;=duration,ROW()-ROW($B$7),"")</f>
        <v>167</v>
      </c>
      <c r="C174" s="4">
        <f t="shared" si="21"/>
        <v>50622</v>
      </c>
      <c r="D174" s="6">
        <f t="shared" si="16"/>
        <v>848.63642063813904</v>
      </c>
      <c r="E174" s="6">
        <f t="shared" si="17"/>
        <v>304.64071746813642</v>
      </c>
      <c r="F174" s="5">
        <f t="shared" si="18"/>
        <v>1153.2771381062755</v>
      </c>
      <c r="G174" s="6">
        <f t="shared" si="19"/>
        <v>56.88</v>
      </c>
      <c r="H174" s="5">
        <f t="shared" si="20"/>
        <v>1210.1571381062756</v>
      </c>
      <c r="I174" s="3" t="str">
        <f t="shared" si="22"/>
        <v>Unpaid</v>
      </c>
      <c r="J174" s="6">
        <f t="shared" si="23"/>
        <v>244136.17839313796</v>
      </c>
    </row>
    <row r="175" spans="2:10">
      <c r="B175" s="3" cm="1">
        <f t="array" ref="B175">IF(ROW()-ROW($B$7)&lt;=duration,ROW()-ROW($B$7),"")</f>
        <v>168</v>
      </c>
      <c r="C175" s="4">
        <f t="shared" si="21"/>
        <v>50653</v>
      </c>
      <c r="D175" s="6">
        <f t="shared" si="16"/>
        <v>850.58121243543485</v>
      </c>
      <c r="E175" s="6">
        <f t="shared" si="17"/>
        <v>302.69592567084067</v>
      </c>
      <c r="F175" s="5">
        <f t="shared" si="18"/>
        <v>1153.2771381062755</v>
      </c>
      <c r="G175" s="6">
        <f t="shared" si="19"/>
        <v>56.88</v>
      </c>
      <c r="H175" s="5">
        <f t="shared" si="20"/>
        <v>1210.1571381062756</v>
      </c>
      <c r="I175" s="3" t="str">
        <f t="shared" si="22"/>
        <v>Unpaid</v>
      </c>
      <c r="J175" s="6">
        <f t="shared" si="23"/>
        <v>244136.17839313796</v>
      </c>
    </row>
    <row r="176" spans="2:10">
      <c r="B176" s="3" cm="1">
        <f t="array" ref="B176">IF(ROW()-ROW($B$7)&lt;=duration,ROW()-ROW($B$7),"")</f>
        <v>169</v>
      </c>
      <c r="C176" s="4">
        <f t="shared" si="21"/>
        <v>50683</v>
      </c>
      <c r="D176" s="6">
        <f t="shared" si="16"/>
        <v>852.53046104726604</v>
      </c>
      <c r="E176" s="6">
        <f t="shared" si="17"/>
        <v>300.74667705900947</v>
      </c>
      <c r="F176" s="5">
        <f t="shared" si="18"/>
        <v>1153.2771381062755</v>
      </c>
      <c r="G176" s="6">
        <f t="shared" si="19"/>
        <v>56.88</v>
      </c>
      <c r="H176" s="5">
        <f t="shared" si="20"/>
        <v>1210.1571381062756</v>
      </c>
      <c r="I176" s="3" t="str">
        <f t="shared" si="22"/>
        <v>Unpaid</v>
      </c>
      <c r="J176" s="6">
        <f t="shared" si="23"/>
        <v>244136.17839313796</v>
      </c>
    </row>
    <row r="177" spans="2:10">
      <c r="B177" s="3" cm="1">
        <f t="array" ref="B177">IF(ROW()-ROW($B$7)&lt;=duration,ROW()-ROW($B$7),"")</f>
        <v>170</v>
      </c>
      <c r="C177" s="4">
        <f t="shared" si="21"/>
        <v>50714</v>
      </c>
      <c r="D177" s="6">
        <f t="shared" si="16"/>
        <v>854.48417668716593</v>
      </c>
      <c r="E177" s="6">
        <f t="shared" si="17"/>
        <v>298.79296141910953</v>
      </c>
      <c r="F177" s="5">
        <f t="shared" si="18"/>
        <v>1153.2771381062755</v>
      </c>
      <c r="G177" s="6">
        <f t="shared" si="19"/>
        <v>56.88</v>
      </c>
      <c r="H177" s="5">
        <f t="shared" si="20"/>
        <v>1210.1571381062756</v>
      </c>
      <c r="I177" s="3" t="str">
        <f t="shared" si="22"/>
        <v>Unpaid</v>
      </c>
      <c r="J177" s="6">
        <f t="shared" si="23"/>
        <v>244136.17839313796</v>
      </c>
    </row>
    <row r="178" spans="2:10">
      <c r="B178" s="3" cm="1">
        <f t="array" ref="B178">IF(ROW()-ROW($B$7)&lt;=duration,ROW()-ROW($B$7),"")</f>
        <v>171</v>
      </c>
      <c r="C178" s="4">
        <f t="shared" si="21"/>
        <v>50744</v>
      </c>
      <c r="D178" s="6">
        <f t="shared" si="16"/>
        <v>856.4423695920741</v>
      </c>
      <c r="E178" s="6">
        <f t="shared" si="17"/>
        <v>296.83476851420141</v>
      </c>
      <c r="F178" s="5">
        <f t="shared" si="18"/>
        <v>1153.2771381062755</v>
      </c>
      <c r="G178" s="6">
        <f t="shared" si="19"/>
        <v>56.88</v>
      </c>
      <c r="H178" s="5">
        <f t="shared" si="20"/>
        <v>1210.1571381062756</v>
      </c>
      <c r="I178" s="3" t="str">
        <f t="shared" si="22"/>
        <v>Unpaid</v>
      </c>
      <c r="J178" s="6">
        <f t="shared" si="23"/>
        <v>244136.17839313796</v>
      </c>
    </row>
    <row r="179" spans="2:10">
      <c r="B179" s="3" cm="1">
        <f t="array" ref="B179">IF(ROW()-ROW($B$7)&lt;=duration,ROW()-ROW($B$7),"")</f>
        <v>172</v>
      </c>
      <c r="C179" s="4">
        <f t="shared" si="21"/>
        <v>50775</v>
      </c>
      <c r="D179" s="6">
        <f t="shared" si="16"/>
        <v>858.40505002238933</v>
      </c>
      <c r="E179" s="6">
        <f t="shared" si="17"/>
        <v>294.87208808388624</v>
      </c>
      <c r="F179" s="5">
        <f t="shared" si="18"/>
        <v>1153.2771381062755</v>
      </c>
      <c r="G179" s="6">
        <f t="shared" si="19"/>
        <v>56.88</v>
      </c>
      <c r="H179" s="5">
        <f t="shared" si="20"/>
        <v>1210.1571381062756</v>
      </c>
      <c r="I179" s="3" t="str">
        <f t="shared" si="22"/>
        <v>Unpaid</v>
      </c>
      <c r="J179" s="6">
        <f t="shared" si="23"/>
        <v>244136.17839313796</v>
      </c>
    </row>
    <row r="180" spans="2:10">
      <c r="B180" s="3" cm="1">
        <f t="array" ref="B180">IF(ROW()-ROW($B$7)&lt;=duration,ROW()-ROW($B$7),"")</f>
        <v>173</v>
      </c>
      <c r="C180" s="4">
        <f t="shared" si="21"/>
        <v>50806</v>
      </c>
      <c r="D180" s="6">
        <f t="shared" si="16"/>
        <v>860.3722282620239</v>
      </c>
      <c r="E180" s="6">
        <f t="shared" si="17"/>
        <v>292.90490984425162</v>
      </c>
      <c r="F180" s="5">
        <f t="shared" si="18"/>
        <v>1153.2771381062755</v>
      </c>
      <c r="G180" s="6">
        <f t="shared" si="19"/>
        <v>56.88</v>
      </c>
      <c r="H180" s="5">
        <f t="shared" si="20"/>
        <v>1210.1571381062756</v>
      </c>
      <c r="I180" s="3" t="str">
        <f t="shared" si="22"/>
        <v>Unpaid</v>
      </c>
      <c r="J180" s="6">
        <f t="shared" si="23"/>
        <v>244136.17839313796</v>
      </c>
    </row>
    <row r="181" spans="2:10">
      <c r="B181" s="3" cm="1">
        <f t="array" ref="B181">IF(ROW()-ROW($B$7)&lt;=duration,ROW()-ROW($B$7),"")</f>
        <v>174</v>
      </c>
      <c r="C181" s="4">
        <f t="shared" si="21"/>
        <v>50834</v>
      </c>
      <c r="D181" s="6">
        <f t="shared" si="16"/>
        <v>862.3439146184578</v>
      </c>
      <c r="E181" s="6">
        <f t="shared" si="17"/>
        <v>290.93322348781777</v>
      </c>
      <c r="F181" s="5">
        <f t="shared" si="18"/>
        <v>1153.2771381062755</v>
      </c>
      <c r="G181" s="6">
        <f t="shared" si="19"/>
        <v>56.88</v>
      </c>
      <c r="H181" s="5">
        <f t="shared" si="20"/>
        <v>1210.1571381062756</v>
      </c>
      <c r="I181" s="3" t="str">
        <f t="shared" si="22"/>
        <v>Unpaid</v>
      </c>
      <c r="J181" s="6">
        <f t="shared" si="23"/>
        <v>244136.17839313796</v>
      </c>
    </row>
    <row r="182" spans="2:10">
      <c r="B182" s="3" cm="1">
        <f t="array" ref="B182">IF(ROW()-ROW($B$7)&lt;=duration,ROW()-ROW($B$7),"")</f>
        <v>175</v>
      </c>
      <c r="C182" s="4">
        <f t="shared" si="21"/>
        <v>50865</v>
      </c>
      <c r="D182" s="6">
        <f t="shared" si="16"/>
        <v>864.32011942279166</v>
      </c>
      <c r="E182" s="6">
        <f t="shared" si="17"/>
        <v>288.95701868348385</v>
      </c>
      <c r="F182" s="5">
        <f t="shared" si="18"/>
        <v>1153.2771381062755</v>
      </c>
      <c r="G182" s="6">
        <f t="shared" si="19"/>
        <v>56.88</v>
      </c>
      <c r="H182" s="5">
        <f t="shared" si="20"/>
        <v>1210.1571381062756</v>
      </c>
      <c r="I182" s="3" t="str">
        <f t="shared" si="22"/>
        <v>Unpaid</v>
      </c>
      <c r="J182" s="6">
        <f t="shared" si="23"/>
        <v>244136.17839313796</v>
      </c>
    </row>
    <row r="183" spans="2:10">
      <c r="B183" s="3" cm="1">
        <f t="array" ref="B183">IF(ROW()-ROW($B$7)&lt;=duration,ROW()-ROW($B$7),"")</f>
        <v>176</v>
      </c>
      <c r="C183" s="4">
        <f t="shared" si="21"/>
        <v>50895</v>
      </c>
      <c r="D183" s="6">
        <f t="shared" si="16"/>
        <v>866.30085302980228</v>
      </c>
      <c r="E183" s="6">
        <f t="shared" si="17"/>
        <v>286.97628507647329</v>
      </c>
      <c r="F183" s="5">
        <f t="shared" si="18"/>
        <v>1153.2771381062755</v>
      </c>
      <c r="G183" s="6">
        <f t="shared" si="19"/>
        <v>56.88</v>
      </c>
      <c r="H183" s="5">
        <f t="shared" si="20"/>
        <v>1210.1571381062756</v>
      </c>
      <c r="I183" s="3" t="str">
        <f t="shared" si="22"/>
        <v>Unpaid</v>
      </c>
      <c r="J183" s="6">
        <f t="shared" si="23"/>
        <v>244136.17839313796</v>
      </c>
    </row>
    <row r="184" spans="2:10">
      <c r="B184" s="3" cm="1">
        <f t="array" ref="B184">IF(ROW()-ROW($B$7)&lt;=duration,ROW()-ROW($B$7),"")</f>
        <v>177</v>
      </c>
      <c r="C184" s="4">
        <f t="shared" si="21"/>
        <v>50926</v>
      </c>
      <c r="D184" s="6">
        <f t="shared" si="16"/>
        <v>868.28612581799553</v>
      </c>
      <c r="E184" s="6">
        <f t="shared" si="17"/>
        <v>284.99101228827999</v>
      </c>
      <c r="F184" s="5">
        <f t="shared" si="18"/>
        <v>1153.2771381062755</v>
      </c>
      <c r="G184" s="6">
        <f t="shared" si="19"/>
        <v>56.88</v>
      </c>
      <c r="H184" s="5">
        <f t="shared" si="20"/>
        <v>1210.1571381062756</v>
      </c>
      <c r="I184" s="3" t="str">
        <f t="shared" si="22"/>
        <v>Unpaid</v>
      </c>
      <c r="J184" s="6">
        <f t="shared" si="23"/>
        <v>244136.17839313796</v>
      </c>
    </row>
    <row r="185" spans="2:10">
      <c r="B185" s="3" cm="1">
        <f t="array" ref="B185">IF(ROW()-ROW($B$7)&lt;=duration,ROW()-ROW($B$7),"")</f>
        <v>178</v>
      </c>
      <c r="C185" s="4">
        <f t="shared" si="21"/>
        <v>50956</v>
      </c>
      <c r="D185" s="6">
        <f t="shared" si="16"/>
        <v>870.27594818966168</v>
      </c>
      <c r="E185" s="6">
        <f t="shared" si="17"/>
        <v>283.00118991661378</v>
      </c>
      <c r="F185" s="5">
        <f t="shared" si="18"/>
        <v>1153.2771381062755</v>
      </c>
      <c r="G185" s="6">
        <f t="shared" si="19"/>
        <v>56.88</v>
      </c>
      <c r="H185" s="5">
        <f t="shared" si="20"/>
        <v>1210.1571381062756</v>
      </c>
      <c r="I185" s="3" t="str">
        <f t="shared" si="22"/>
        <v>Unpaid</v>
      </c>
      <c r="J185" s="6">
        <f t="shared" si="23"/>
        <v>244136.17839313796</v>
      </c>
    </row>
    <row r="186" spans="2:10">
      <c r="B186" s="3" cm="1">
        <f t="array" ref="B186">IF(ROW()-ROW($B$7)&lt;=duration,ROW()-ROW($B$7),"")</f>
        <v>179</v>
      </c>
      <c r="C186" s="4">
        <f t="shared" si="21"/>
        <v>50987</v>
      </c>
      <c r="D186" s="6">
        <f t="shared" si="16"/>
        <v>872.27033057092967</v>
      </c>
      <c r="E186" s="6">
        <f t="shared" si="17"/>
        <v>281.00680753534579</v>
      </c>
      <c r="F186" s="5">
        <f t="shared" si="18"/>
        <v>1153.2771381062755</v>
      </c>
      <c r="G186" s="6">
        <f t="shared" si="19"/>
        <v>56.88</v>
      </c>
      <c r="H186" s="5">
        <f t="shared" si="20"/>
        <v>1210.1571381062756</v>
      </c>
      <c r="I186" s="3" t="str">
        <f t="shared" si="22"/>
        <v>Unpaid</v>
      </c>
      <c r="J186" s="6">
        <f t="shared" si="23"/>
        <v>244136.17839313796</v>
      </c>
    </row>
    <row r="187" spans="2:10">
      <c r="B187" s="3" cm="1">
        <f t="array" ref="B187">IF(ROW()-ROW($B$7)&lt;=duration,ROW()-ROW($B$7),"")</f>
        <v>180</v>
      </c>
      <c r="C187" s="4">
        <f t="shared" si="21"/>
        <v>51018</v>
      </c>
      <c r="D187" s="6">
        <f t="shared" si="16"/>
        <v>874.26928341182156</v>
      </c>
      <c r="E187" s="6">
        <f t="shared" si="17"/>
        <v>279.00785469445401</v>
      </c>
      <c r="F187" s="5">
        <f t="shared" si="18"/>
        <v>1153.2771381062755</v>
      </c>
      <c r="G187" s="6">
        <f t="shared" si="19"/>
        <v>56.88</v>
      </c>
      <c r="H187" s="5">
        <f t="shared" si="20"/>
        <v>1210.1571381062756</v>
      </c>
      <c r="I187" s="3" t="str">
        <f t="shared" si="22"/>
        <v>Unpaid</v>
      </c>
      <c r="J187" s="6">
        <f t="shared" si="23"/>
        <v>244136.17839313796</v>
      </c>
    </row>
    <row r="188" spans="2:10">
      <c r="B188" s="3" cm="1">
        <f t="array" ref="B188">IF(ROW()-ROW($B$7)&lt;=duration,ROW()-ROW($B$7),"")</f>
        <v>181</v>
      </c>
      <c r="C188" s="4">
        <f t="shared" si="21"/>
        <v>51048</v>
      </c>
      <c r="D188" s="6">
        <f t="shared" si="16"/>
        <v>876.27281718630684</v>
      </c>
      <c r="E188" s="6">
        <f t="shared" si="17"/>
        <v>277.00432091996862</v>
      </c>
      <c r="F188" s="5">
        <f t="shared" si="18"/>
        <v>1153.2771381062755</v>
      </c>
      <c r="G188" s="6">
        <f t="shared" si="19"/>
        <v>56.88</v>
      </c>
      <c r="H188" s="5">
        <f t="shared" si="20"/>
        <v>1210.1571381062756</v>
      </c>
      <c r="I188" s="3" t="str">
        <f t="shared" si="22"/>
        <v>Unpaid</v>
      </c>
      <c r="J188" s="6">
        <f t="shared" si="23"/>
        <v>244136.17839313796</v>
      </c>
    </row>
    <row r="189" spans="2:10">
      <c r="B189" s="3" cm="1">
        <f t="array" ref="B189">IF(ROW()-ROW($B$7)&lt;=duration,ROW()-ROW($B$7),"")</f>
        <v>182</v>
      </c>
      <c r="C189" s="4">
        <f t="shared" si="21"/>
        <v>51079</v>
      </c>
      <c r="D189" s="6">
        <f t="shared" si="16"/>
        <v>878.28094239235884</v>
      </c>
      <c r="E189" s="6">
        <f t="shared" si="17"/>
        <v>274.99619571391673</v>
      </c>
      <c r="F189" s="5">
        <f t="shared" si="18"/>
        <v>1153.2771381062755</v>
      </c>
      <c r="G189" s="6">
        <f t="shared" si="19"/>
        <v>56.88</v>
      </c>
      <c r="H189" s="5">
        <f t="shared" si="20"/>
        <v>1210.1571381062756</v>
      </c>
      <c r="I189" s="3" t="str">
        <f t="shared" si="22"/>
        <v>Unpaid</v>
      </c>
      <c r="J189" s="6">
        <f t="shared" si="23"/>
        <v>244136.17839313796</v>
      </c>
    </row>
    <row r="190" spans="2:10">
      <c r="B190" s="3" cm="1">
        <f t="array" ref="B190">IF(ROW()-ROW($B$7)&lt;=duration,ROW()-ROW($B$7),"")</f>
        <v>183</v>
      </c>
      <c r="C190" s="4">
        <f t="shared" si="21"/>
        <v>51109</v>
      </c>
      <c r="D190" s="6">
        <f t="shared" si="16"/>
        <v>880.29366955200805</v>
      </c>
      <c r="E190" s="6">
        <f t="shared" si="17"/>
        <v>272.98346855426746</v>
      </c>
      <c r="F190" s="5">
        <f t="shared" si="18"/>
        <v>1153.2771381062755</v>
      </c>
      <c r="G190" s="6">
        <f t="shared" si="19"/>
        <v>56.88</v>
      </c>
      <c r="H190" s="5">
        <f t="shared" si="20"/>
        <v>1210.1571381062756</v>
      </c>
      <c r="I190" s="3" t="str">
        <f t="shared" si="22"/>
        <v>Unpaid</v>
      </c>
      <c r="J190" s="6">
        <f t="shared" si="23"/>
        <v>244136.17839313796</v>
      </c>
    </row>
    <row r="191" spans="2:10">
      <c r="B191" s="3" cm="1">
        <f t="array" ref="B191">IF(ROW()-ROW($B$7)&lt;=duration,ROW()-ROW($B$7),"")</f>
        <v>184</v>
      </c>
      <c r="C191" s="4">
        <f t="shared" si="21"/>
        <v>51140</v>
      </c>
      <c r="D191" s="6">
        <f t="shared" si="16"/>
        <v>882.31100921139796</v>
      </c>
      <c r="E191" s="6">
        <f t="shared" si="17"/>
        <v>270.9661288948775</v>
      </c>
      <c r="F191" s="5">
        <f t="shared" si="18"/>
        <v>1153.2771381062755</v>
      </c>
      <c r="G191" s="6">
        <f t="shared" si="19"/>
        <v>56.88</v>
      </c>
      <c r="H191" s="5">
        <f t="shared" si="20"/>
        <v>1210.1571381062756</v>
      </c>
      <c r="I191" s="3" t="str">
        <f t="shared" si="22"/>
        <v>Unpaid</v>
      </c>
      <c r="J191" s="6">
        <f t="shared" si="23"/>
        <v>244136.17839313796</v>
      </c>
    </row>
    <row r="192" spans="2:10">
      <c r="B192" s="3" cm="1">
        <f t="array" ref="B192">IF(ROW()-ROW($B$7)&lt;=duration,ROW()-ROW($B$7),"")</f>
        <v>185</v>
      </c>
      <c r="C192" s="4">
        <f t="shared" si="21"/>
        <v>51171</v>
      </c>
      <c r="D192" s="6">
        <f t="shared" si="16"/>
        <v>884.33297194084082</v>
      </c>
      <c r="E192" s="6">
        <f t="shared" si="17"/>
        <v>268.94416616543469</v>
      </c>
      <c r="F192" s="5">
        <f t="shared" si="18"/>
        <v>1153.2771381062755</v>
      </c>
      <c r="G192" s="6">
        <f t="shared" si="19"/>
        <v>56.88</v>
      </c>
      <c r="H192" s="5">
        <f t="shared" si="20"/>
        <v>1210.1571381062756</v>
      </c>
      <c r="I192" s="3" t="str">
        <f t="shared" si="22"/>
        <v>Unpaid</v>
      </c>
      <c r="J192" s="6">
        <f t="shared" si="23"/>
        <v>244136.17839313796</v>
      </c>
    </row>
    <row r="193" spans="2:10">
      <c r="B193" s="3" cm="1">
        <f t="array" ref="B193">IF(ROW()-ROW($B$7)&lt;=duration,ROW()-ROW($B$7),"")</f>
        <v>186</v>
      </c>
      <c r="C193" s="4">
        <f t="shared" si="21"/>
        <v>51200</v>
      </c>
      <c r="D193" s="6">
        <f t="shared" si="16"/>
        <v>886.35956833487194</v>
      </c>
      <c r="E193" s="6">
        <f t="shared" si="17"/>
        <v>266.91756977140363</v>
      </c>
      <c r="F193" s="5">
        <f t="shared" si="18"/>
        <v>1153.2771381062755</v>
      </c>
      <c r="G193" s="6">
        <f t="shared" si="19"/>
        <v>56.88</v>
      </c>
      <c r="H193" s="5">
        <f t="shared" si="20"/>
        <v>1210.1571381062756</v>
      </c>
      <c r="I193" s="3" t="str">
        <f t="shared" si="22"/>
        <v>Unpaid</v>
      </c>
      <c r="J193" s="6">
        <f t="shared" si="23"/>
        <v>244136.17839313796</v>
      </c>
    </row>
    <row r="194" spans="2:10">
      <c r="B194" s="3" cm="1">
        <f t="array" ref="B194">IF(ROW()-ROW($B$7)&lt;=duration,ROW()-ROW($B$7),"")</f>
        <v>187</v>
      </c>
      <c r="C194" s="4">
        <f t="shared" si="21"/>
        <v>51231</v>
      </c>
      <c r="D194" s="6">
        <f t="shared" si="16"/>
        <v>888.39080901230591</v>
      </c>
      <c r="E194" s="6">
        <f t="shared" si="17"/>
        <v>264.88632909396955</v>
      </c>
      <c r="F194" s="5">
        <f t="shared" si="18"/>
        <v>1153.2771381062755</v>
      </c>
      <c r="G194" s="6">
        <f t="shared" si="19"/>
        <v>56.88</v>
      </c>
      <c r="H194" s="5">
        <f t="shared" si="20"/>
        <v>1210.1571381062756</v>
      </c>
      <c r="I194" s="3" t="str">
        <f t="shared" si="22"/>
        <v>Unpaid</v>
      </c>
      <c r="J194" s="6">
        <f t="shared" si="23"/>
        <v>244136.17839313796</v>
      </c>
    </row>
    <row r="195" spans="2:10">
      <c r="B195" s="3" cm="1">
        <f t="array" ref="B195">IF(ROW()-ROW($B$7)&lt;=duration,ROW()-ROW($B$7),"")</f>
        <v>188</v>
      </c>
      <c r="C195" s="4">
        <f t="shared" si="21"/>
        <v>51261</v>
      </c>
      <c r="D195" s="6">
        <f t="shared" si="16"/>
        <v>890.42670461629245</v>
      </c>
      <c r="E195" s="6">
        <f t="shared" si="17"/>
        <v>262.850433489983</v>
      </c>
      <c r="F195" s="5">
        <f t="shared" si="18"/>
        <v>1153.2771381062755</v>
      </c>
      <c r="G195" s="6">
        <f t="shared" si="19"/>
        <v>56.88</v>
      </c>
      <c r="H195" s="5">
        <f t="shared" si="20"/>
        <v>1210.1571381062756</v>
      </c>
      <c r="I195" s="3" t="str">
        <f t="shared" si="22"/>
        <v>Unpaid</v>
      </c>
      <c r="J195" s="6">
        <f t="shared" si="23"/>
        <v>244136.17839313796</v>
      </c>
    </row>
    <row r="196" spans="2:10">
      <c r="B196" s="3" cm="1">
        <f t="array" ref="B196">IF(ROW()-ROW($B$7)&lt;=duration,ROW()-ROW($B$7),"")</f>
        <v>189</v>
      </c>
      <c r="C196" s="4">
        <f t="shared" si="21"/>
        <v>51292</v>
      </c>
      <c r="D196" s="6">
        <f t="shared" si="16"/>
        <v>892.46726581437156</v>
      </c>
      <c r="E196" s="6">
        <f t="shared" si="17"/>
        <v>260.80987229190401</v>
      </c>
      <c r="F196" s="5">
        <f t="shared" si="18"/>
        <v>1153.2771381062755</v>
      </c>
      <c r="G196" s="6">
        <f t="shared" si="19"/>
        <v>56.88</v>
      </c>
      <c r="H196" s="5">
        <f t="shared" si="20"/>
        <v>1210.1571381062756</v>
      </c>
      <c r="I196" s="3" t="str">
        <f t="shared" si="22"/>
        <v>Unpaid</v>
      </c>
      <c r="J196" s="6">
        <f t="shared" si="23"/>
        <v>244136.17839313796</v>
      </c>
    </row>
    <row r="197" spans="2:10">
      <c r="B197" s="3" cm="1">
        <f t="array" ref="B197">IF(ROW()-ROW($B$7)&lt;=duration,ROW()-ROW($B$7),"")</f>
        <v>190</v>
      </c>
      <c r="C197" s="4">
        <f t="shared" si="21"/>
        <v>51322</v>
      </c>
      <c r="D197" s="6">
        <f t="shared" si="16"/>
        <v>894.51250329852951</v>
      </c>
      <c r="E197" s="6">
        <f t="shared" si="17"/>
        <v>258.76463480774606</v>
      </c>
      <c r="F197" s="5">
        <f t="shared" si="18"/>
        <v>1153.2771381062755</v>
      </c>
      <c r="G197" s="6">
        <f t="shared" si="19"/>
        <v>56.88</v>
      </c>
      <c r="H197" s="5">
        <f t="shared" si="20"/>
        <v>1210.1571381062756</v>
      </c>
      <c r="I197" s="3" t="str">
        <f t="shared" si="22"/>
        <v>Unpaid</v>
      </c>
      <c r="J197" s="6">
        <f t="shared" si="23"/>
        <v>244136.17839313796</v>
      </c>
    </row>
    <row r="198" spans="2:10">
      <c r="B198" s="3" cm="1">
        <f t="array" ref="B198">IF(ROW()-ROW($B$7)&lt;=duration,ROW()-ROW($B$7),"")</f>
        <v>191</v>
      </c>
      <c r="C198" s="4">
        <f t="shared" si="21"/>
        <v>51353</v>
      </c>
      <c r="D198" s="6">
        <f t="shared" si="16"/>
        <v>896.5624277852553</v>
      </c>
      <c r="E198" s="6">
        <f t="shared" si="17"/>
        <v>256.71471032102028</v>
      </c>
      <c r="F198" s="5">
        <f t="shared" si="18"/>
        <v>1153.2771381062755</v>
      </c>
      <c r="G198" s="6">
        <f t="shared" si="19"/>
        <v>56.88</v>
      </c>
      <c r="H198" s="5">
        <f t="shared" si="20"/>
        <v>1210.1571381062756</v>
      </c>
      <c r="I198" s="3" t="str">
        <f t="shared" si="22"/>
        <v>Unpaid</v>
      </c>
      <c r="J198" s="6">
        <f t="shared" si="23"/>
        <v>244136.17839313796</v>
      </c>
    </row>
    <row r="199" spans="2:10">
      <c r="B199" s="3" cm="1">
        <f t="array" ref="B199">IF(ROW()-ROW($B$7)&lt;=duration,ROW()-ROW($B$7),"")</f>
        <v>192</v>
      </c>
      <c r="C199" s="4">
        <f t="shared" si="21"/>
        <v>51384</v>
      </c>
      <c r="D199" s="6">
        <f t="shared" si="16"/>
        <v>898.61705001559653</v>
      </c>
      <c r="E199" s="6">
        <f t="shared" si="17"/>
        <v>254.66008809067904</v>
      </c>
      <c r="F199" s="5">
        <f t="shared" si="18"/>
        <v>1153.2771381062755</v>
      </c>
      <c r="G199" s="6">
        <f t="shared" si="19"/>
        <v>56.88</v>
      </c>
      <c r="H199" s="5">
        <f t="shared" si="20"/>
        <v>1210.1571381062756</v>
      </c>
      <c r="I199" s="3" t="str">
        <f t="shared" si="22"/>
        <v>Unpaid</v>
      </c>
      <c r="J199" s="6">
        <f t="shared" si="23"/>
        <v>244136.17839313796</v>
      </c>
    </row>
    <row r="200" spans="2:10">
      <c r="B200" s="3" cm="1">
        <f t="array" ref="B200">IF(ROW()-ROW($B$7)&lt;=duration,ROW()-ROW($B$7),"")</f>
        <v>193</v>
      </c>
      <c r="C200" s="4">
        <f t="shared" si="21"/>
        <v>51414</v>
      </c>
      <c r="D200" s="6">
        <f t="shared" ref="D200:D263" si="24">IF(B200="","",F200-E200)</f>
        <v>900.67638075521552</v>
      </c>
      <c r="E200" s="6">
        <f t="shared" ref="E200:E263" si="25">IF(B200="","",IPMT(_xlfn.SINGLE(loanInterestRate)/12,B200,duration,-_xlfn.SINGLE(principle)))</f>
        <v>252.60075735105997</v>
      </c>
      <c r="F200" s="5">
        <f t="shared" ref="F200:F263" si="26">IF(B200="", "", EMI)</f>
        <v>1153.2771381062755</v>
      </c>
      <c r="G200" s="6">
        <f t="shared" ref="G200:G263" si="27">IF(B200="","",insurancePerMonth)</f>
        <v>56.88</v>
      </c>
      <c r="H200" s="5">
        <f t="shared" ref="H200:H263" si="28">IF(B200="","",F200+G200)</f>
        <v>1210.1571381062756</v>
      </c>
      <c r="I200" s="3" t="str">
        <f t="shared" si="22"/>
        <v>Unpaid</v>
      </c>
      <c r="J200" s="6">
        <f t="shared" si="23"/>
        <v>244136.17839313796</v>
      </c>
    </row>
    <row r="201" spans="2:10">
      <c r="B201" s="3" cm="1">
        <f t="array" ref="B201">IF(ROW()-ROW($B$7)&lt;=duration,ROW()-ROW($B$7),"")</f>
        <v>194</v>
      </c>
      <c r="C201" s="4">
        <f t="shared" si="21"/>
        <v>51445</v>
      </c>
      <c r="D201" s="6">
        <f t="shared" si="24"/>
        <v>902.74043079444618</v>
      </c>
      <c r="E201" s="6">
        <f t="shared" si="25"/>
        <v>250.53670731182928</v>
      </c>
      <c r="F201" s="5">
        <f t="shared" si="26"/>
        <v>1153.2771381062755</v>
      </c>
      <c r="G201" s="6">
        <f t="shared" si="27"/>
        <v>56.88</v>
      </c>
      <c r="H201" s="5">
        <f t="shared" si="28"/>
        <v>1210.1571381062756</v>
      </c>
      <c r="I201" s="3" t="str">
        <f t="shared" si="22"/>
        <v>Unpaid</v>
      </c>
      <c r="J201" s="6">
        <f t="shared" si="23"/>
        <v>244136.17839313796</v>
      </c>
    </row>
    <row r="202" spans="2:10">
      <c r="B202" s="3" cm="1">
        <f t="array" ref="B202">IF(ROW()-ROW($B$7)&lt;=duration,ROW()-ROW($B$7),"")</f>
        <v>195</v>
      </c>
      <c r="C202" s="4">
        <f t="shared" ref="C202:C265" si="29">IF(B202="","",EOMONTH(C201,0)+5)</f>
        <v>51475</v>
      </c>
      <c r="D202" s="6">
        <f t="shared" si="24"/>
        <v>904.80921094835014</v>
      </c>
      <c r="E202" s="6">
        <f t="shared" si="25"/>
        <v>248.46792715792535</v>
      </c>
      <c r="F202" s="5">
        <f t="shared" si="26"/>
        <v>1153.2771381062755</v>
      </c>
      <c r="G202" s="6">
        <f t="shared" si="27"/>
        <v>56.88</v>
      </c>
      <c r="H202" s="5">
        <f t="shared" si="28"/>
        <v>1210.1571381062756</v>
      </c>
      <c r="I202" s="3" t="str">
        <f t="shared" ref="I202:I265" si="30">IF(B202="","","Unpaid")</f>
        <v>Unpaid</v>
      </c>
      <c r="J202" s="6">
        <f t="shared" ref="J202:J265" si="31">IF(B202="","",IF(I202="Unpaid",J201,J201-D202))</f>
        <v>244136.17839313796</v>
      </c>
    </row>
    <row r="203" spans="2:10">
      <c r="B203" s="3" cm="1">
        <f t="array" ref="B203">IF(ROW()-ROW($B$7)&lt;=duration,ROW()-ROW($B$7),"")</f>
        <v>196</v>
      </c>
      <c r="C203" s="4">
        <f t="shared" si="29"/>
        <v>51506</v>
      </c>
      <c r="D203" s="6">
        <f t="shared" si="24"/>
        <v>906.88273205677342</v>
      </c>
      <c r="E203" s="6">
        <f t="shared" si="25"/>
        <v>246.39440604950204</v>
      </c>
      <c r="F203" s="5">
        <f t="shared" si="26"/>
        <v>1153.2771381062755</v>
      </c>
      <c r="G203" s="6">
        <f t="shared" si="27"/>
        <v>56.88</v>
      </c>
      <c r="H203" s="5">
        <f t="shared" si="28"/>
        <v>1210.1571381062756</v>
      </c>
      <c r="I203" s="3" t="str">
        <f t="shared" si="30"/>
        <v>Unpaid</v>
      </c>
      <c r="J203" s="6">
        <f t="shared" si="31"/>
        <v>244136.17839313796</v>
      </c>
    </row>
    <row r="204" spans="2:10">
      <c r="B204" s="3" cm="1">
        <f t="array" ref="B204">IF(ROW()-ROW($B$7)&lt;=duration,ROW()-ROW($B$7),"")</f>
        <v>197</v>
      </c>
      <c r="C204" s="4">
        <f t="shared" si="29"/>
        <v>51537</v>
      </c>
      <c r="D204" s="6">
        <f t="shared" si="24"/>
        <v>908.96100498440364</v>
      </c>
      <c r="E204" s="6">
        <f t="shared" si="25"/>
        <v>244.3161331218719</v>
      </c>
      <c r="F204" s="5">
        <f t="shared" si="26"/>
        <v>1153.2771381062755</v>
      </c>
      <c r="G204" s="6">
        <f t="shared" si="27"/>
        <v>56.88</v>
      </c>
      <c r="H204" s="5">
        <f t="shared" si="28"/>
        <v>1210.1571381062756</v>
      </c>
      <c r="I204" s="3" t="str">
        <f t="shared" si="30"/>
        <v>Unpaid</v>
      </c>
      <c r="J204" s="6">
        <f t="shared" si="31"/>
        <v>244136.17839313796</v>
      </c>
    </row>
    <row r="205" spans="2:10">
      <c r="B205" s="3" cm="1">
        <f t="array" ref="B205">IF(ROW()-ROW($B$7)&lt;=duration,ROW()-ROW($B$7),"")</f>
        <v>198</v>
      </c>
      <c r="C205" s="4">
        <f t="shared" si="29"/>
        <v>51565</v>
      </c>
      <c r="D205" s="6">
        <f t="shared" si="24"/>
        <v>911.04404062082619</v>
      </c>
      <c r="E205" s="6">
        <f t="shared" si="25"/>
        <v>242.23309748544935</v>
      </c>
      <c r="F205" s="5">
        <f t="shared" si="26"/>
        <v>1153.2771381062755</v>
      </c>
      <c r="G205" s="6">
        <f t="shared" si="27"/>
        <v>56.88</v>
      </c>
      <c r="H205" s="5">
        <f t="shared" si="28"/>
        <v>1210.1571381062756</v>
      </c>
      <c r="I205" s="3" t="str">
        <f t="shared" si="30"/>
        <v>Unpaid</v>
      </c>
      <c r="J205" s="6">
        <f t="shared" si="31"/>
        <v>244136.17839313796</v>
      </c>
    </row>
    <row r="206" spans="2:10">
      <c r="B206" s="3" cm="1">
        <f t="array" ref="B206">IF(ROW()-ROW($B$7)&lt;=duration,ROW()-ROW($B$7),"")</f>
        <v>199</v>
      </c>
      <c r="C206" s="4">
        <f t="shared" si="29"/>
        <v>51596</v>
      </c>
      <c r="D206" s="6">
        <f t="shared" si="24"/>
        <v>913.13184988058219</v>
      </c>
      <c r="E206" s="6">
        <f t="shared" si="25"/>
        <v>240.14528822569326</v>
      </c>
      <c r="F206" s="5">
        <f t="shared" si="26"/>
        <v>1153.2771381062755</v>
      </c>
      <c r="G206" s="6">
        <f t="shared" si="27"/>
        <v>56.88</v>
      </c>
      <c r="H206" s="5">
        <f t="shared" si="28"/>
        <v>1210.1571381062756</v>
      </c>
      <c r="I206" s="3" t="str">
        <f t="shared" si="30"/>
        <v>Unpaid</v>
      </c>
      <c r="J206" s="6">
        <f t="shared" si="31"/>
        <v>244136.17839313796</v>
      </c>
    </row>
    <row r="207" spans="2:10">
      <c r="B207" s="3" cm="1">
        <f t="array" ref="B207">IF(ROW()-ROW($B$7)&lt;=duration,ROW()-ROW($B$7),"")</f>
        <v>200</v>
      </c>
      <c r="C207" s="4">
        <f t="shared" si="29"/>
        <v>51626</v>
      </c>
      <c r="D207" s="6">
        <f t="shared" si="24"/>
        <v>915.22444370322523</v>
      </c>
      <c r="E207" s="6">
        <f t="shared" si="25"/>
        <v>238.05269440305031</v>
      </c>
      <c r="F207" s="5">
        <f t="shared" si="26"/>
        <v>1153.2771381062755</v>
      </c>
      <c r="G207" s="6">
        <f t="shared" si="27"/>
        <v>56.88</v>
      </c>
      <c r="H207" s="5">
        <f t="shared" si="28"/>
        <v>1210.1571381062756</v>
      </c>
      <c r="I207" s="3" t="str">
        <f t="shared" si="30"/>
        <v>Unpaid</v>
      </c>
      <c r="J207" s="6">
        <f t="shared" si="31"/>
        <v>244136.17839313796</v>
      </c>
    </row>
    <row r="208" spans="2:10">
      <c r="B208" s="3" cm="1">
        <f t="array" ref="B208">IF(ROW()-ROW($B$7)&lt;=duration,ROW()-ROW($B$7),"")</f>
        <v>201</v>
      </c>
      <c r="C208" s="4">
        <f t="shared" si="29"/>
        <v>51657</v>
      </c>
      <c r="D208" s="6">
        <f t="shared" si="24"/>
        <v>917.32183305337844</v>
      </c>
      <c r="E208" s="6">
        <f t="shared" si="25"/>
        <v>235.95530505289707</v>
      </c>
      <c r="F208" s="5">
        <f t="shared" si="26"/>
        <v>1153.2771381062755</v>
      </c>
      <c r="G208" s="6">
        <f t="shared" si="27"/>
        <v>56.88</v>
      </c>
      <c r="H208" s="5">
        <f t="shared" si="28"/>
        <v>1210.1571381062756</v>
      </c>
      <c r="I208" s="3" t="str">
        <f t="shared" si="30"/>
        <v>Unpaid</v>
      </c>
      <c r="J208" s="6">
        <f t="shared" si="31"/>
        <v>244136.17839313796</v>
      </c>
    </row>
    <row r="209" spans="2:10">
      <c r="B209" s="3" cm="1">
        <f t="array" ref="B209">IF(ROW()-ROW($B$7)&lt;=duration,ROW()-ROW($B$7),"")</f>
        <v>202</v>
      </c>
      <c r="C209" s="4">
        <f t="shared" si="29"/>
        <v>51687</v>
      </c>
      <c r="D209" s="6">
        <f t="shared" si="24"/>
        <v>919.42402892079247</v>
      </c>
      <c r="E209" s="6">
        <f t="shared" si="25"/>
        <v>233.85310918548305</v>
      </c>
      <c r="F209" s="5">
        <f t="shared" si="26"/>
        <v>1153.2771381062755</v>
      </c>
      <c r="G209" s="6">
        <f t="shared" si="27"/>
        <v>56.88</v>
      </c>
      <c r="H209" s="5">
        <f t="shared" si="28"/>
        <v>1210.1571381062756</v>
      </c>
      <c r="I209" s="3" t="str">
        <f t="shared" si="30"/>
        <v>Unpaid</v>
      </c>
      <c r="J209" s="6">
        <f t="shared" si="31"/>
        <v>244136.17839313796</v>
      </c>
    </row>
    <row r="210" spans="2:10">
      <c r="B210" s="3" cm="1">
        <f t="array" ref="B210">IF(ROW()-ROW($B$7)&lt;=duration,ROW()-ROW($B$7),"")</f>
        <v>203</v>
      </c>
      <c r="C210" s="4">
        <f t="shared" si="29"/>
        <v>51718</v>
      </c>
      <c r="D210" s="6">
        <f t="shared" si="24"/>
        <v>921.53104232040255</v>
      </c>
      <c r="E210" s="6">
        <f t="shared" si="25"/>
        <v>231.74609578587291</v>
      </c>
      <c r="F210" s="5">
        <f t="shared" si="26"/>
        <v>1153.2771381062755</v>
      </c>
      <c r="G210" s="6">
        <f t="shared" si="27"/>
        <v>56.88</v>
      </c>
      <c r="H210" s="5">
        <f t="shared" si="28"/>
        <v>1210.1571381062756</v>
      </c>
      <c r="I210" s="3" t="str">
        <f t="shared" si="30"/>
        <v>Unpaid</v>
      </c>
      <c r="J210" s="6">
        <f t="shared" si="31"/>
        <v>244136.17839313796</v>
      </c>
    </row>
    <row r="211" spans="2:10">
      <c r="B211" s="3" cm="1">
        <f t="array" ref="B211">IF(ROW()-ROW($B$7)&lt;=duration,ROW()-ROW($B$7),"")</f>
        <v>204</v>
      </c>
      <c r="C211" s="4">
        <f t="shared" si="29"/>
        <v>51749</v>
      </c>
      <c r="D211" s="6">
        <f t="shared" si="24"/>
        <v>923.64288429238695</v>
      </c>
      <c r="E211" s="6">
        <f t="shared" si="25"/>
        <v>229.63425381388862</v>
      </c>
      <c r="F211" s="5">
        <f t="shared" si="26"/>
        <v>1153.2771381062755</v>
      </c>
      <c r="G211" s="6">
        <f t="shared" si="27"/>
        <v>56.88</v>
      </c>
      <c r="H211" s="5">
        <f t="shared" si="28"/>
        <v>1210.1571381062756</v>
      </c>
      <c r="I211" s="3" t="str">
        <f t="shared" si="30"/>
        <v>Unpaid</v>
      </c>
      <c r="J211" s="6">
        <f t="shared" si="31"/>
        <v>244136.17839313796</v>
      </c>
    </row>
    <row r="212" spans="2:10">
      <c r="B212" s="3" cm="1">
        <f t="array" ref="B212">IF(ROW()-ROW($B$7)&lt;=duration,ROW()-ROW($B$7),"")</f>
        <v>205</v>
      </c>
      <c r="C212" s="4">
        <f t="shared" si="29"/>
        <v>51779</v>
      </c>
      <c r="D212" s="6">
        <f t="shared" si="24"/>
        <v>925.75956590222358</v>
      </c>
      <c r="E212" s="6">
        <f t="shared" si="25"/>
        <v>227.51757220405193</v>
      </c>
      <c r="F212" s="5">
        <f t="shared" si="26"/>
        <v>1153.2771381062755</v>
      </c>
      <c r="G212" s="6">
        <f t="shared" si="27"/>
        <v>56.88</v>
      </c>
      <c r="H212" s="5">
        <f t="shared" si="28"/>
        <v>1210.1571381062756</v>
      </c>
      <c r="I212" s="3" t="str">
        <f t="shared" si="30"/>
        <v>Unpaid</v>
      </c>
      <c r="J212" s="6">
        <f t="shared" si="31"/>
        <v>244136.17839313796</v>
      </c>
    </row>
    <row r="213" spans="2:10">
      <c r="B213" s="3" cm="1">
        <f t="array" ref="B213">IF(ROW()-ROW($B$7)&lt;=duration,ROW()-ROW($B$7),"")</f>
        <v>206</v>
      </c>
      <c r="C213" s="4">
        <f t="shared" si="29"/>
        <v>51810</v>
      </c>
      <c r="D213" s="6">
        <f t="shared" si="24"/>
        <v>927.88109824074945</v>
      </c>
      <c r="E213" s="6">
        <f t="shared" si="25"/>
        <v>225.39603986552601</v>
      </c>
      <c r="F213" s="5">
        <f t="shared" si="26"/>
        <v>1153.2771381062755</v>
      </c>
      <c r="G213" s="6">
        <f t="shared" si="27"/>
        <v>56.88</v>
      </c>
      <c r="H213" s="5">
        <f t="shared" si="28"/>
        <v>1210.1571381062756</v>
      </c>
      <c r="I213" s="3" t="str">
        <f t="shared" si="30"/>
        <v>Unpaid</v>
      </c>
      <c r="J213" s="6">
        <f t="shared" si="31"/>
        <v>244136.17839313796</v>
      </c>
    </row>
    <row r="214" spans="2:10">
      <c r="B214" s="3" cm="1">
        <f t="array" ref="B214">IF(ROW()-ROW($B$7)&lt;=duration,ROW()-ROW($B$7),"")</f>
        <v>207</v>
      </c>
      <c r="C214" s="4">
        <f t="shared" si="29"/>
        <v>51840</v>
      </c>
      <c r="D214" s="6">
        <f t="shared" si="24"/>
        <v>930.00749242421784</v>
      </c>
      <c r="E214" s="6">
        <f t="shared" si="25"/>
        <v>223.26964568205761</v>
      </c>
      <c r="F214" s="5">
        <f t="shared" si="26"/>
        <v>1153.2771381062755</v>
      </c>
      <c r="G214" s="6">
        <f t="shared" si="27"/>
        <v>56.88</v>
      </c>
      <c r="H214" s="5">
        <f t="shared" si="28"/>
        <v>1210.1571381062756</v>
      </c>
      <c r="I214" s="3" t="str">
        <f t="shared" si="30"/>
        <v>Unpaid</v>
      </c>
      <c r="J214" s="6">
        <f t="shared" si="31"/>
        <v>244136.17839313796</v>
      </c>
    </row>
    <row r="215" spans="2:10">
      <c r="B215" s="3" cm="1">
        <f t="array" ref="B215">IF(ROW()-ROW($B$7)&lt;=duration,ROW()-ROW($B$7),"")</f>
        <v>208</v>
      </c>
      <c r="C215" s="4">
        <f t="shared" si="29"/>
        <v>51871</v>
      </c>
      <c r="D215" s="6">
        <f t="shared" si="24"/>
        <v>932.13875959435677</v>
      </c>
      <c r="E215" s="6">
        <f t="shared" si="25"/>
        <v>221.1383785119188</v>
      </c>
      <c r="F215" s="5">
        <f t="shared" si="26"/>
        <v>1153.2771381062755</v>
      </c>
      <c r="G215" s="6">
        <f t="shared" si="27"/>
        <v>56.88</v>
      </c>
      <c r="H215" s="5">
        <f t="shared" si="28"/>
        <v>1210.1571381062756</v>
      </c>
      <c r="I215" s="3" t="str">
        <f t="shared" si="30"/>
        <v>Unpaid</v>
      </c>
      <c r="J215" s="6">
        <f t="shared" si="31"/>
        <v>244136.17839313796</v>
      </c>
    </row>
    <row r="216" spans="2:10">
      <c r="B216" s="3" cm="1">
        <f t="array" ref="B216">IF(ROW()-ROW($B$7)&lt;=duration,ROW()-ROW($B$7),"")</f>
        <v>209</v>
      </c>
      <c r="C216" s="4">
        <f t="shared" si="29"/>
        <v>51902</v>
      </c>
      <c r="D216" s="6">
        <f t="shared" si="24"/>
        <v>934.27491091842705</v>
      </c>
      <c r="E216" s="6">
        <f t="shared" si="25"/>
        <v>219.00222718784843</v>
      </c>
      <c r="F216" s="5">
        <f t="shared" si="26"/>
        <v>1153.2771381062755</v>
      </c>
      <c r="G216" s="6">
        <f t="shared" si="27"/>
        <v>56.88</v>
      </c>
      <c r="H216" s="5">
        <f t="shared" si="28"/>
        <v>1210.1571381062756</v>
      </c>
      <c r="I216" s="3" t="str">
        <f t="shared" si="30"/>
        <v>Unpaid</v>
      </c>
      <c r="J216" s="6">
        <f t="shared" si="31"/>
        <v>244136.17839313796</v>
      </c>
    </row>
    <row r="217" spans="2:10">
      <c r="B217" s="3" cm="1">
        <f t="array" ref="B217">IF(ROW()-ROW($B$7)&lt;=duration,ROW()-ROW($B$7),"")</f>
        <v>210</v>
      </c>
      <c r="C217" s="4">
        <f t="shared" si="29"/>
        <v>51930</v>
      </c>
      <c r="D217" s="6">
        <f t="shared" si="24"/>
        <v>936.4159575892819</v>
      </c>
      <c r="E217" s="6">
        <f t="shared" si="25"/>
        <v>216.86118051699361</v>
      </c>
      <c r="F217" s="5">
        <f t="shared" si="26"/>
        <v>1153.2771381062755</v>
      </c>
      <c r="G217" s="6">
        <f t="shared" si="27"/>
        <v>56.88</v>
      </c>
      <c r="H217" s="5">
        <f t="shared" si="28"/>
        <v>1210.1571381062756</v>
      </c>
      <c r="I217" s="3" t="str">
        <f t="shared" si="30"/>
        <v>Unpaid</v>
      </c>
      <c r="J217" s="6">
        <f t="shared" si="31"/>
        <v>244136.17839313796</v>
      </c>
    </row>
    <row r="218" spans="2:10">
      <c r="B218" s="3" cm="1">
        <f t="array" ref="B218">IF(ROW()-ROW($B$7)&lt;=duration,ROW()-ROW($B$7),"")</f>
        <v>211</v>
      </c>
      <c r="C218" s="4">
        <f t="shared" si="29"/>
        <v>51961</v>
      </c>
      <c r="D218" s="6">
        <f t="shared" si="24"/>
        <v>938.56191082542387</v>
      </c>
      <c r="E218" s="6">
        <f t="shared" si="25"/>
        <v>214.71522728085159</v>
      </c>
      <c r="F218" s="5">
        <f t="shared" si="26"/>
        <v>1153.2771381062755</v>
      </c>
      <c r="G218" s="6">
        <f t="shared" si="27"/>
        <v>56.88</v>
      </c>
      <c r="H218" s="5">
        <f t="shared" si="28"/>
        <v>1210.1571381062756</v>
      </c>
      <c r="I218" s="3" t="str">
        <f t="shared" si="30"/>
        <v>Unpaid</v>
      </c>
      <c r="J218" s="6">
        <f t="shared" si="31"/>
        <v>244136.17839313796</v>
      </c>
    </row>
    <row r="219" spans="2:10">
      <c r="B219" s="3" cm="1">
        <f t="array" ref="B219">IF(ROW()-ROW($B$7)&lt;=duration,ROW()-ROW($B$7),"")</f>
        <v>212</v>
      </c>
      <c r="C219" s="4">
        <f t="shared" si="29"/>
        <v>51991</v>
      </c>
      <c r="D219" s="6">
        <f t="shared" si="24"/>
        <v>940.71278187106554</v>
      </c>
      <c r="E219" s="6">
        <f t="shared" si="25"/>
        <v>212.56435623520994</v>
      </c>
      <c r="F219" s="5">
        <f t="shared" si="26"/>
        <v>1153.2771381062755</v>
      </c>
      <c r="G219" s="6">
        <f t="shared" si="27"/>
        <v>56.88</v>
      </c>
      <c r="H219" s="5">
        <f t="shared" si="28"/>
        <v>1210.1571381062756</v>
      </c>
      <c r="I219" s="3" t="str">
        <f t="shared" si="30"/>
        <v>Unpaid</v>
      </c>
      <c r="J219" s="6">
        <f t="shared" si="31"/>
        <v>244136.17839313796</v>
      </c>
    </row>
    <row r="220" spans="2:10">
      <c r="B220" s="3" cm="1">
        <f t="array" ref="B220">IF(ROW()-ROW($B$7)&lt;=duration,ROW()-ROW($B$7),"")</f>
        <v>213</v>
      </c>
      <c r="C220" s="4">
        <f t="shared" si="29"/>
        <v>52022</v>
      </c>
      <c r="D220" s="6">
        <f t="shared" si="24"/>
        <v>942.86858199618678</v>
      </c>
      <c r="E220" s="6">
        <f t="shared" si="25"/>
        <v>210.4085561100888</v>
      </c>
      <c r="F220" s="5">
        <f t="shared" si="26"/>
        <v>1153.2771381062755</v>
      </c>
      <c r="G220" s="6">
        <f t="shared" si="27"/>
        <v>56.88</v>
      </c>
      <c r="H220" s="5">
        <f t="shared" si="28"/>
        <v>1210.1571381062756</v>
      </c>
      <c r="I220" s="3" t="str">
        <f t="shared" si="30"/>
        <v>Unpaid</v>
      </c>
      <c r="J220" s="6">
        <f t="shared" si="31"/>
        <v>244136.17839313796</v>
      </c>
    </row>
    <row r="221" spans="2:10">
      <c r="B221" s="3" cm="1">
        <f t="array" ref="B221">IF(ROW()-ROW($B$7)&lt;=duration,ROW()-ROW($B$7),"")</f>
        <v>214</v>
      </c>
      <c r="C221" s="4">
        <f t="shared" si="29"/>
        <v>52052</v>
      </c>
      <c r="D221" s="6">
        <f t="shared" si="24"/>
        <v>945.02932249659466</v>
      </c>
      <c r="E221" s="6">
        <f t="shared" si="25"/>
        <v>208.24781560968083</v>
      </c>
      <c r="F221" s="5">
        <f t="shared" si="26"/>
        <v>1153.2771381062755</v>
      </c>
      <c r="G221" s="6">
        <f t="shared" si="27"/>
        <v>56.88</v>
      </c>
      <c r="H221" s="5">
        <f t="shared" si="28"/>
        <v>1210.1571381062756</v>
      </c>
      <c r="I221" s="3" t="str">
        <f t="shared" si="30"/>
        <v>Unpaid</v>
      </c>
      <c r="J221" s="6">
        <f t="shared" si="31"/>
        <v>244136.17839313796</v>
      </c>
    </row>
    <row r="222" spans="2:10">
      <c r="B222" s="3" cm="1">
        <f t="array" ref="B222">IF(ROW()-ROW($B$7)&lt;=duration,ROW()-ROW($B$7),"")</f>
        <v>215</v>
      </c>
      <c r="C222" s="4">
        <f t="shared" si="29"/>
        <v>52083</v>
      </c>
      <c r="D222" s="6">
        <f t="shared" si="24"/>
        <v>947.19501469398267</v>
      </c>
      <c r="E222" s="6">
        <f t="shared" si="25"/>
        <v>206.08212341229282</v>
      </c>
      <c r="F222" s="5">
        <f t="shared" si="26"/>
        <v>1153.2771381062755</v>
      </c>
      <c r="G222" s="6">
        <f t="shared" si="27"/>
        <v>56.88</v>
      </c>
      <c r="H222" s="5">
        <f t="shared" si="28"/>
        <v>1210.1571381062756</v>
      </c>
      <c r="I222" s="3" t="str">
        <f t="shared" si="30"/>
        <v>Unpaid</v>
      </c>
      <c r="J222" s="6">
        <f t="shared" si="31"/>
        <v>244136.17839313796</v>
      </c>
    </row>
    <row r="223" spans="2:10">
      <c r="B223" s="3" cm="1">
        <f t="array" ref="B223">IF(ROW()-ROW($B$7)&lt;=duration,ROW()-ROW($B$7),"")</f>
        <v>216</v>
      </c>
      <c r="C223" s="4">
        <f t="shared" si="29"/>
        <v>52114</v>
      </c>
      <c r="D223" s="6">
        <f t="shared" si="24"/>
        <v>949.36566993598979</v>
      </c>
      <c r="E223" s="6">
        <f t="shared" si="25"/>
        <v>203.91146817028573</v>
      </c>
      <c r="F223" s="5">
        <f t="shared" si="26"/>
        <v>1153.2771381062755</v>
      </c>
      <c r="G223" s="6">
        <f t="shared" si="27"/>
        <v>56.88</v>
      </c>
      <c r="H223" s="5">
        <f t="shared" si="28"/>
        <v>1210.1571381062756</v>
      </c>
      <c r="I223" s="3" t="str">
        <f t="shared" si="30"/>
        <v>Unpaid</v>
      </c>
      <c r="J223" s="6">
        <f t="shared" si="31"/>
        <v>244136.17839313796</v>
      </c>
    </row>
    <row r="224" spans="2:10">
      <c r="B224" s="3" cm="1">
        <f t="array" ref="B224">IF(ROW()-ROW($B$7)&lt;=duration,ROW()-ROW($B$7),"")</f>
        <v>217</v>
      </c>
      <c r="C224" s="4">
        <f t="shared" si="29"/>
        <v>52144</v>
      </c>
      <c r="D224" s="6">
        <f t="shared" si="24"/>
        <v>951.54129959625971</v>
      </c>
      <c r="E224" s="6">
        <f t="shared" si="25"/>
        <v>201.73583851001581</v>
      </c>
      <c r="F224" s="5">
        <f t="shared" si="26"/>
        <v>1153.2771381062755</v>
      </c>
      <c r="G224" s="6">
        <f t="shared" si="27"/>
        <v>56.88</v>
      </c>
      <c r="H224" s="5">
        <f t="shared" si="28"/>
        <v>1210.1571381062756</v>
      </c>
      <c r="I224" s="3" t="str">
        <f t="shared" si="30"/>
        <v>Unpaid</v>
      </c>
      <c r="J224" s="6">
        <f t="shared" si="31"/>
        <v>244136.17839313796</v>
      </c>
    </row>
    <row r="225" spans="2:10">
      <c r="B225" s="3" cm="1">
        <f t="array" ref="B225">IF(ROW()-ROW($B$7)&lt;=duration,ROW()-ROW($B$7),"")</f>
        <v>218</v>
      </c>
      <c r="C225" s="4">
        <f t="shared" si="29"/>
        <v>52175</v>
      </c>
      <c r="D225" s="6">
        <f t="shared" si="24"/>
        <v>953.72191507450111</v>
      </c>
      <c r="E225" s="6">
        <f t="shared" si="25"/>
        <v>199.55522303177437</v>
      </c>
      <c r="F225" s="5">
        <f t="shared" si="26"/>
        <v>1153.2771381062755</v>
      </c>
      <c r="G225" s="6">
        <f t="shared" si="27"/>
        <v>56.88</v>
      </c>
      <c r="H225" s="5">
        <f t="shared" si="28"/>
        <v>1210.1571381062756</v>
      </c>
      <c r="I225" s="3" t="str">
        <f t="shared" si="30"/>
        <v>Unpaid</v>
      </c>
      <c r="J225" s="6">
        <f t="shared" si="31"/>
        <v>244136.17839313796</v>
      </c>
    </row>
    <row r="226" spans="2:10">
      <c r="B226" s="3" cm="1">
        <f t="array" ref="B226">IF(ROW()-ROW($B$7)&lt;=duration,ROW()-ROW($B$7),"")</f>
        <v>219</v>
      </c>
      <c r="C226" s="4">
        <f t="shared" si="29"/>
        <v>52205</v>
      </c>
      <c r="D226" s="6">
        <f t="shared" si="24"/>
        <v>955.9075277965469</v>
      </c>
      <c r="E226" s="6">
        <f t="shared" si="25"/>
        <v>197.36961030972864</v>
      </c>
      <c r="F226" s="5">
        <f t="shared" si="26"/>
        <v>1153.2771381062755</v>
      </c>
      <c r="G226" s="6">
        <f t="shared" si="27"/>
        <v>56.88</v>
      </c>
      <c r="H226" s="5">
        <f t="shared" si="28"/>
        <v>1210.1571381062756</v>
      </c>
      <c r="I226" s="3" t="str">
        <f t="shared" si="30"/>
        <v>Unpaid</v>
      </c>
      <c r="J226" s="6">
        <f t="shared" si="31"/>
        <v>244136.17839313796</v>
      </c>
    </row>
    <row r="227" spans="2:10">
      <c r="B227" s="3" cm="1">
        <f t="array" ref="B227">IF(ROW()-ROW($B$7)&lt;=duration,ROW()-ROW($B$7),"")</f>
        <v>220</v>
      </c>
      <c r="C227" s="4">
        <f t="shared" si="29"/>
        <v>52236</v>
      </c>
      <c r="D227" s="6">
        <f t="shared" si="24"/>
        <v>958.09814921441398</v>
      </c>
      <c r="E227" s="6">
        <f t="shared" si="25"/>
        <v>195.17898889186154</v>
      </c>
      <c r="F227" s="5">
        <f t="shared" si="26"/>
        <v>1153.2771381062755</v>
      </c>
      <c r="G227" s="6">
        <f t="shared" si="27"/>
        <v>56.88</v>
      </c>
      <c r="H227" s="5">
        <f t="shared" si="28"/>
        <v>1210.1571381062756</v>
      </c>
      <c r="I227" s="3" t="str">
        <f t="shared" si="30"/>
        <v>Unpaid</v>
      </c>
      <c r="J227" s="6">
        <f t="shared" si="31"/>
        <v>244136.17839313796</v>
      </c>
    </row>
    <row r="228" spans="2:10">
      <c r="B228" s="3" cm="1">
        <f t="array" ref="B228">IF(ROW()-ROW($B$7)&lt;=duration,ROW()-ROW($B$7),"")</f>
        <v>221</v>
      </c>
      <c r="C228" s="4">
        <f t="shared" si="29"/>
        <v>52267</v>
      </c>
      <c r="D228" s="6">
        <f t="shared" si="24"/>
        <v>960.29379080636363</v>
      </c>
      <c r="E228" s="6">
        <f t="shared" si="25"/>
        <v>192.98334729991183</v>
      </c>
      <c r="F228" s="5">
        <f t="shared" si="26"/>
        <v>1153.2771381062755</v>
      </c>
      <c r="G228" s="6">
        <f t="shared" si="27"/>
        <v>56.88</v>
      </c>
      <c r="H228" s="5">
        <f t="shared" si="28"/>
        <v>1210.1571381062756</v>
      </c>
      <c r="I228" s="3" t="str">
        <f t="shared" si="30"/>
        <v>Unpaid</v>
      </c>
      <c r="J228" s="6">
        <f t="shared" si="31"/>
        <v>244136.17839313796</v>
      </c>
    </row>
    <row r="229" spans="2:10">
      <c r="B229" s="3" cm="1">
        <f t="array" ref="B229">IF(ROW()-ROW($B$7)&lt;=duration,ROW()-ROW($B$7),"")</f>
        <v>222</v>
      </c>
      <c r="C229" s="4">
        <f t="shared" si="29"/>
        <v>52295</v>
      </c>
      <c r="D229" s="6">
        <f t="shared" si="24"/>
        <v>962.49446407696155</v>
      </c>
      <c r="E229" s="6">
        <f t="shared" si="25"/>
        <v>190.78267402931394</v>
      </c>
      <c r="F229" s="5">
        <f t="shared" si="26"/>
        <v>1153.2771381062755</v>
      </c>
      <c r="G229" s="6">
        <f t="shared" si="27"/>
        <v>56.88</v>
      </c>
      <c r="H229" s="5">
        <f t="shared" si="28"/>
        <v>1210.1571381062756</v>
      </c>
      <c r="I229" s="3" t="str">
        <f t="shared" si="30"/>
        <v>Unpaid</v>
      </c>
      <c r="J229" s="6">
        <f t="shared" si="31"/>
        <v>244136.17839313796</v>
      </c>
    </row>
    <row r="230" spans="2:10">
      <c r="B230" s="3" cm="1">
        <f t="array" ref="B230">IF(ROW()-ROW($B$7)&lt;=duration,ROW()-ROW($B$7),"")</f>
        <v>223</v>
      </c>
      <c r="C230" s="4">
        <f t="shared" si="29"/>
        <v>52326</v>
      </c>
      <c r="D230" s="6">
        <f t="shared" si="24"/>
        <v>964.70018055713797</v>
      </c>
      <c r="E230" s="6">
        <f t="shared" si="25"/>
        <v>188.57695754913757</v>
      </c>
      <c r="F230" s="5">
        <f t="shared" si="26"/>
        <v>1153.2771381062755</v>
      </c>
      <c r="G230" s="6">
        <f t="shared" si="27"/>
        <v>56.88</v>
      </c>
      <c r="H230" s="5">
        <f t="shared" si="28"/>
        <v>1210.1571381062756</v>
      </c>
      <c r="I230" s="3" t="str">
        <f t="shared" si="30"/>
        <v>Unpaid</v>
      </c>
      <c r="J230" s="6">
        <f t="shared" si="31"/>
        <v>244136.17839313796</v>
      </c>
    </row>
    <row r="231" spans="2:10">
      <c r="B231" s="3" cm="1">
        <f t="array" ref="B231">IF(ROW()-ROW($B$7)&lt;=duration,ROW()-ROW($B$7),"")</f>
        <v>224</v>
      </c>
      <c r="C231" s="4">
        <f t="shared" si="29"/>
        <v>52356</v>
      </c>
      <c r="D231" s="6">
        <f t="shared" si="24"/>
        <v>966.91095180424804</v>
      </c>
      <c r="E231" s="6">
        <f t="shared" si="25"/>
        <v>186.36618630202747</v>
      </c>
      <c r="F231" s="5">
        <f t="shared" si="26"/>
        <v>1153.2771381062755</v>
      </c>
      <c r="G231" s="6">
        <f t="shared" si="27"/>
        <v>56.88</v>
      </c>
      <c r="H231" s="5">
        <f t="shared" si="28"/>
        <v>1210.1571381062756</v>
      </c>
      <c r="I231" s="3" t="str">
        <f t="shared" si="30"/>
        <v>Unpaid</v>
      </c>
      <c r="J231" s="6">
        <f t="shared" si="31"/>
        <v>244136.17839313796</v>
      </c>
    </row>
    <row r="232" spans="2:10">
      <c r="B232" s="3" cm="1">
        <f t="array" ref="B232">IF(ROW()-ROW($B$7)&lt;=duration,ROW()-ROW($B$7),"")</f>
        <v>225</v>
      </c>
      <c r="C232" s="4">
        <f t="shared" si="29"/>
        <v>52387</v>
      </c>
      <c r="D232" s="6">
        <f t="shared" si="24"/>
        <v>969.12678940213277</v>
      </c>
      <c r="E232" s="6">
        <f t="shared" si="25"/>
        <v>184.15034870414271</v>
      </c>
      <c r="F232" s="5">
        <f t="shared" si="26"/>
        <v>1153.2771381062755</v>
      </c>
      <c r="G232" s="6">
        <f t="shared" si="27"/>
        <v>56.88</v>
      </c>
      <c r="H232" s="5">
        <f t="shared" si="28"/>
        <v>1210.1571381062756</v>
      </c>
      <c r="I232" s="3" t="str">
        <f t="shared" si="30"/>
        <v>Unpaid</v>
      </c>
      <c r="J232" s="6">
        <f t="shared" si="31"/>
        <v>244136.17839313796</v>
      </c>
    </row>
    <row r="233" spans="2:10">
      <c r="B233" s="3" cm="1">
        <f t="array" ref="B233">IF(ROW()-ROW($B$7)&lt;=duration,ROW()-ROW($B$7),"")</f>
        <v>226</v>
      </c>
      <c r="C233" s="4">
        <f t="shared" si="29"/>
        <v>52417</v>
      </c>
      <c r="D233" s="6">
        <f t="shared" si="24"/>
        <v>971.34770496117937</v>
      </c>
      <c r="E233" s="6">
        <f t="shared" si="25"/>
        <v>181.92943314509617</v>
      </c>
      <c r="F233" s="5">
        <f t="shared" si="26"/>
        <v>1153.2771381062755</v>
      </c>
      <c r="G233" s="6">
        <f t="shared" si="27"/>
        <v>56.88</v>
      </c>
      <c r="H233" s="5">
        <f t="shared" si="28"/>
        <v>1210.1571381062756</v>
      </c>
      <c r="I233" s="3" t="str">
        <f t="shared" si="30"/>
        <v>Unpaid</v>
      </c>
      <c r="J233" s="6">
        <f t="shared" si="31"/>
        <v>244136.17839313796</v>
      </c>
    </row>
    <row r="234" spans="2:10">
      <c r="B234" s="3" cm="1">
        <f t="array" ref="B234">IF(ROW()-ROW($B$7)&lt;=duration,ROW()-ROW($B$7),"")</f>
        <v>227</v>
      </c>
      <c r="C234" s="4">
        <f t="shared" si="29"/>
        <v>52448</v>
      </c>
      <c r="D234" s="6">
        <f t="shared" si="24"/>
        <v>973.57371011838211</v>
      </c>
      <c r="E234" s="6">
        <f t="shared" si="25"/>
        <v>179.70342798789343</v>
      </c>
      <c r="F234" s="5">
        <f t="shared" si="26"/>
        <v>1153.2771381062755</v>
      </c>
      <c r="G234" s="6">
        <f t="shared" si="27"/>
        <v>56.88</v>
      </c>
      <c r="H234" s="5">
        <f t="shared" si="28"/>
        <v>1210.1571381062756</v>
      </c>
      <c r="I234" s="3" t="str">
        <f t="shared" si="30"/>
        <v>Unpaid</v>
      </c>
      <c r="J234" s="6">
        <f t="shared" si="31"/>
        <v>244136.17839313796</v>
      </c>
    </row>
    <row r="235" spans="2:10">
      <c r="B235" s="3" cm="1">
        <f t="array" ref="B235">IF(ROW()-ROW($B$7)&lt;=duration,ROW()-ROW($B$7),"")</f>
        <v>228</v>
      </c>
      <c r="C235" s="4">
        <f t="shared" si="29"/>
        <v>52479</v>
      </c>
      <c r="D235" s="6">
        <f t="shared" si="24"/>
        <v>975.80481653740333</v>
      </c>
      <c r="E235" s="6">
        <f t="shared" si="25"/>
        <v>177.47232156887216</v>
      </c>
      <c r="F235" s="5">
        <f t="shared" si="26"/>
        <v>1153.2771381062755</v>
      </c>
      <c r="G235" s="6">
        <f t="shared" si="27"/>
        <v>56.88</v>
      </c>
      <c r="H235" s="5">
        <f t="shared" si="28"/>
        <v>1210.1571381062756</v>
      </c>
      <c r="I235" s="3" t="str">
        <f t="shared" si="30"/>
        <v>Unpaid</v>
      </c>
      <c r="J235" s="6">
        <f t="shared" si="31"/>
        <v>244136.17839313796</v>
      </c>
    </row>
    <row r="236" spans="2:10">
      <c r="B236" s="3" cm="1">
        <f t="array" ref="B236">IF(ROW()-ROW($B$7)&lt;=duration,ROW()-ROW($B$7),"")</f>
        <v>229</v>
      </c>
      <c r="C236" s="4">
        <f t="shared" si="29"/>
        <v>52509</v>
      </c>
      <c r="D236" s="6">
        <f t="shared" si="24"/>
        <v>978.04103590863485</v>
      </c>
      <c r="E236" s="6">
        <f t="shared" si="25"/>
        <v>175.23610219764063</v>
      </c>
      <c r="F236" s="5">
        <f t="shared" si="26"/>
        <v>1153.2771381062755</v>
      </c>
      <c r="G236" s="6">
        <f t="shared" si="27"/>
        <v>56.88</v>
      </c>
      <c r="H236" s="5">
        <f t="shared" si="28"/>
        <v>1210.1571381062756</v>
      </c>
      <c r="I236" s="3" t="str">
        <f t="shared" si="30"/>
        <v>Unpaid</v>
      </c>
      <c r="J236" s="6">
        <f t="shared" si="31"/>
        <v>244136.17839313796</v>
      </c>
    </row>
    <row r="237" spans="2:10">
      <c r="B237" s="3" cm="1">
        <f t="array" ref="B237">IF(ROW()-ROW($B$7)&lt;=duration,ROW()-ROW($B$7),"")</f>
        <v>230</v>
      </c>
      <c r="C237" s="4">
        <f t="shared" si="29"/>
        <v>52540</v>
      </c>
      <c r="D237" s="6">
        <f t="shared" si="24"/>
        <v>980.28237994925883</v>
      </c>
      <c r="E237" s="6">
        <f t="shared" si="25"/>
        <v>172.99475815701666</v>
      </c>
      <c r="F237" s="5">
        <f t="shared" si="26"/>
        <v>1153.2771381062755</v>
      </c>
      <c r="G237" s="6">
        <f t="shared" si="27"/>
        <v>56.88</v>
      </c>
      <c r="H237" s="5">
        <f t="shared" si="28"/>
        <v>1210.1571381062756</v>
      </c>
      <c r="I237" s="3" t="str">
        <f t="shared" si="30"/>
        <v>Unpaid</v>
      </c>
      <c r="J237" s="6">
        <f t="shared" si="31"/>
        <v>244136.17839313796</v>
      </c>
    </row>
    <row r="238" spans="2:10">
      <c r="B238" s="3" cm="1">
        <f t="array" ref="B238">IF(ROW()-ROW($B$7)&lt;=duration,ROW()-ROW($B$7),"")</f>
        <v>231</v>
      </c>
      <c r="C238" s="4">
        <f t="shared" si="29"/>
        <v>52570</v>
      </c>
      <c r="D238" s="6">
        <f t="shared" si="24"/>
        <v>982.52886040330918</v>
      </c>
      <c r="E238" s="6">
        <f t="shared" si="25"/>
        <v>170.74827770296628</v>
      </c>
      <c r="F238" s="5">
        <f t="shared" si="26"/>
        <v>1153.2771381062755</v>
      </c>
      <c r="G238" s="6">
        <f t="shared" si="27"/>
        <v>56.88</v>
      </c>
      <c r="H238" s="5">
        <f t="shared" si="28"/>
        <v>1210.1571381062756</v>
      </c>
      <c r="I238" s="3" t="str">
        <f t="shared" si="30"/>
        <v>Unpaid</v>
      </c>
      <c r="J238" s="6">
        <f t="shared" si="31"/>
        <v>244136.17839313796</v>
      </c>
    </row>
    <row r="239" spans="2:10">
      <c r="B239" s="3" cm="1">
        <f t="array" ref="B239">IF(ROW()-ROW($B$7)&lt;=duration,ROW()-ROW($B$7),"")</f>
        <v>232</v>
      </c>
      <c r="C239" s="4">
        <f t="shared" si="29"/>
        <v>52601</v>
      </c>
      <c r="D239" s="6">
        <f t="shared" si="24"/>
        <v>984.78048904173352</v>
      </c>
      <c r="E239" s="6">
        <f t="shared" si="25"/>
        <v>168.49664906454203</v>
      </c>
      <c r="F239" s="5">
        <f t="shared" si="26"/>
        <v>1153.2771381062755</v>
      </c>
      <c r="G239" s="6">
        <f t="shared" si="27"/>
        <v>56.88</v>
      </c>
      <c r="H239" s="5">
        <f t="shared" si="28"/>
        <v>1210.1571381062756</v>
      </c>
      <c r="I239" s="3" t="str">
        <f t="shared" si="30"/>
        <v>Unpaid</v>
      </c>
      <c r="J239" s="6">
        <f t="shared" si="31"/>
        <v>244136.17839313796</v>
      </c>
    </row>
    <row r="240" spans="2:10">
      <c r="B240" s="3" cm="1">
        <f t="array" ref="B240">IF(ROW()-ROW($B$7)&lt;=duration,ROW()-ROW($B$7),"")</f>
        <v>233</v>
      </c>
      <c r="C240" s="4">
        <f t="shared" si="29"/>
        <v>52632</v>
      </c>
      <c r="D240" s="6">
        <f t="shared" si="24"/>
        <v>987.03727766245413</v>
      </c>
      <c r="E240" s="6">
        <f t="shared" si="25"/>
        <v>166.23986044382139</v>
      </c>
      <c r="F240" s="5">
        <f t="shared" si="26"/>
        <v>1153.2771381062755</v>
      </c>
      <c r="G240" s="6">
        <f t="shared" si="27"/>
        <v>56.88</v>
      </c>
      <c r="H240" s="5">
        <f t="shared" si="28"/>
        <v>1210.1571381062756</v>
      </c>
      <c r="I240" s="3" t="str">
        <f t="shared" si="30"/>
        <v>Unpaid</v>
      </c>
      <c r="J240" s="6">
        <f t="shared" si="31"/>
        <v>244136.17839313796</v>
      </c>
    </row>
    <row r="241" spans="2:10">
      <c r="B241" s="3" cm="1">
        <f t="array" ref="B241">IF(ROW()-ROW($B$7)&lt;=duration,ROW()-ROW($B$7),"")</f>
        <v>234</v>
      </c>
      <c r="C241" s="4">
        <f t="shared" si="29"/>
        <v>52661</v>
      </c>
      <c r="D241" s="6">
        <f t="shared" si="24"/>
        <v>989.29923809043055</v>
      </c>
      <c r="E241" s="6">
        <f t="shared" si="25"/>
        <v>163.97790001584497</v>
      </c>
      <c r="F241" s="5">
        <f t="shared" si="26"/>
        <v>1153.2771381062755</v>
      </c>
      <c r="G241" s="6">
        <f t="shared" si="27"/>
        <v>56.88</v>
      </c>
      <c r="H241" s="5">
        <f t="shared" si="28"/>
        <v>1210.1571381062756</v>
      </c>
      <c r="I241" s="3" t="str">
        <f t="shared" si="30"/>
        <v>Unpaid</v>
      </c>
      <c r="J241" s="6">
        <f t="shared" si="31"/>
        <v>244136.17839313796</v>
      </c>
    </row>
    <row r="242" spans="2:10">
      <c r="B242" s="3" cm="1">
        <f t="array" ref="B242">IF(ROW()-ROW($B$7)&lt;=duration,ROW()-ROW($B$7),"")</f>
        <v>235</v>
      </c>
      <c r="C242" s="4">
        <f t="shared" si="29"/>
        <v>52692</v>
      </c>
      <c r="D242" s="6">
        <f t="shared" si="24"/>
        <v>991.56638217772115</v>
      </c>
      <c r="E242" s="6">
        <f t="shared" si="25"/>
        <v>161.71075592855433</v>
      </c>
      <c r="F242" s="5">
        <f t="shared" si="26"/>
        <v>1153.2771381062755</v>
      </c>
      <c r="G242" s="6">
        <f t="shared" si="27"/>
        <v>56.88</v>
      </c>
      <c r="H242" s="5">
        <f t="shared" si="28"/>
        <v>1210.1571381062756</v>
      </c>
      <c r="I242" s="3" t="str">
        <f t="shared" si="30"/>
        <v>Unpaid</v>
      </c>
      <c r="J242" s="6">
        <f t="shared" si="31"/>
        <v>244136.17839313796</v>
      </c>
    </row>
    <row r="243" spans="2:10">
      <c r="B243" s="3" cm="1">
        <f t="array" ref="B243">IF(ROW()-ROW($B$7)&lt;=duration,ROW()-ROW($B$7),"")</f>
        <v>236</v>
      </c>
      <c r="C243" s="4">
        <f t="shared" si="29"/>
        <v>52722</v>
      </c>
      <c r="D243" s="6">
        <f t="shared" si="24"/>
        <v>993.83872180354501</v>
      </c>
      <c r="E243" s="6">
        <f t="shared" si="25"/>
        <v>159.43841630273045</v>
      </c>
      <c r="F243" s="5">
        <f t="shared" si="26"/>
        <v>1153.2771381062755</v>
      </c>
      <c r="G243" s="6">
        <f t="shared" si="27"/>
        <v>56.88</v>
      </c>
      <c r="H243" s="5">
        <f t="shared" si="28"/>
        <v>1210.1571381062756</v>
      </c>
      <c r="I243" s="3" t="str">
        <f t="shared" si="30"/>
        <v>Unpaid</v>
      </c>
      <c r="J243" s="6">
        <f t="shared" si="31"/>
        <v>244136.17839313796</v>
      </c>
    </row>
    <row r="244" spans="2:10">
      <c r="B244" s="3" cm="1">
        <f t="array" ref="B244">IF(ROW()-ROW($B$7)&lt;=duration,ROW()-ROW($B$7),"")</f>
        <v>237</v>
      </c>
      <c r="C244" s="4">
        <f t="shared" si="29"/>
        <v>52753</v>
      </c>
      <c r="D244" s="6">
        <f t="shared" si="24"/>
        <v>996.11626887434488</v>
      </c>
      <c r="E244" s="6">
        <f t="shared" si="25"/>
        <v>157.16086923193063</v>
      </c>
      <c r="F244" s="5">
        <f t="shared" si="26"/>
        <v>1153.2771381062755</v>
      </c>
      <c r="G244" s="6">
        <f t="shared" si="27"/>
        <v>56.88</v>
      </c>
      <c r="H244" s="5">
        <f t="shared" si="28"/>
        <v>1210.1571381062756</v>
      </c>
      <c r="I244" s="3" t="str">
        <f t="shared" si="30"/>
        <v>Unpaid</v>
      </c>
      <c r="J244" s="6">
        <f t="shared" si="31"/>
        <v>244136.17839313796</v>
      </c>
    </row>
    <row r="245" spans="2:10">
      <c r="B245" s="3" cm="1">
        <f t="array" ref="B245">IF(ROW()-ROW($B$7)&lt;=duration,ROW()-ROW($B$7),"")</f>
        <v>238</v>
      </c>
      <c r="C245" s="4">
        <f t="shared" si="29"/>
        <v>52783</v>
      </c>
      <c r="D245" s="6">
        <f t="shared" si="24"/>
        <v>998.39903532384858</v>
      </c>
      <c r="E245" s="6">
        <f t="shared" si="25"/>
        <v>154.87810278242691</v>
      </c>
      <c r="F245" s="5">
        <f t="shared" si="26"/>
        <v>1153.2771381062755</v>
      </c>
      <c r="G245" s="6">
        <f t="shared" si="27"/>
        <v>56.88</v>
      </c>
      <c r="H245" s="5">
        <f t="shared" si="28"/>
        <v>1210.1571381062756</v>
      </c>
      <c r="I245" s="3" t="str">
        <f t="shared" si="30"/>
        <v>Unpaid</v>
      </c>
      <c r="J245" s="6">
        <f t="shared" si="31"/>
        <v>244136.17839313796</v>
      </c>
    </row>
    <row r="246" spans="2:10">
      <c r="B246" s="3" cm="1">
        <f t="array" ref="B246">IF(ROW()-ROW($B$7)&lt;=duration,ROW()-ROW($B$7),"")</f>
        <v>239</v>
      </c>
      <c r="C246" s="4">
        <f t="shared" si="29"/>
        <v>52814</v>
      </c>
      <c r="D246" s="6">
        <f t="shared" si="24"/>
        <v>1000.6870331131324</v>
      </c>
      <c r="E246" s="6">
        <f t="shared" si="25"/>
        <v>152.59010499314311</v>
      </c>
      <c r="F246" s="5">
        <f t="shared" si="26"/>
        <v>1153.2771381062755</v>
      </c>
      <c r="G246" s="6">
        <f t="shared" si="27"/>
        <v>56.88</v>
      </c>
      <c r="H246" s="5">
        <f t="shared" si="28"/>
        <v>1210.1571381062756</v>
      </c>
      <c r="I246" s="3" t="str">
        <f t="shared" si="30"/>
        <v>Unpaid</v>
      </c>
      <c r="J246" s="6">
        <f t="shared" si="31"/>
        <v>244136.17839313796</v>
      </c>
    </row>
    <row r="247" spans="2:10">
      <c r="B247" s="3" cm="1">
        <f t="array" ref="B247">IF(ROW()-ROW($B$7)&lt;=duration,ROW()-ROW($B$7),"")</f>
        <v>240</v>
      </c>
      <c r="C247" s="4">
        <f t="shared" si="29"/>
        <v>52845</v>
      </c>
      <c r="D247" s="6">
        <f t="shared" si="24"/>
        <v>1002.9802742306833</v>
      </c>
      <c r="E247" s="6">
        <f t="shared" si="25"/>
        <v>150.29686387559215</v>
      </c>
      <c r="F247" s="5">
        <f t="shared" si="26"/>
        <v>1153.2771381062755</v>
      </c>
      <c r="G247" s="6">
        <f t="shared" si="27"/>
        <v>56.88</v>
      </c>
      <c r="H247" s="5">
        <f t="shared" si="28"/>
        <v>1210.1571381062756</v>
      </c>
      <c r="I247" s="3" t="str">
        <f t="shared" si="30"/>
        <v>Unpaid</v>
      </c>
      <c r="J247" s="6">
        <f t="shared" si="31"/>
        <v>244136.17839313796</v>
      </c>
    </row>
    <row r="248" spans="2:10">
      <c r="B248" s="3" cm="1">
        <f t="array" ref="B248">IF(ROW()-ROW($B$7)&lt;=duration,ROW()-ROW($B$7),"")</f>
        <v>241</v>
      </c>
      <c r="C248" s="4">
        <f t="shared" si="29"/>
        <v>52875</v>
      </c>
      <c r="D248" s="6">
        <f t="shared" si="24"/>
        <v>1005.278770692462</v>
      </c>
      <c r="E248" s="6">
        <f t="shared" si="25"/>
        <v>147.99836741381353</v>
      </c>
      <c r="F248" s="5">
        <f t="shared" si="26"/>
        <v>1153.2771381062755</v>
      </c>
      <c r="G248" s="6">
        <f t="shared" si="27"/>
        <v>56.88</v>
      </c>
      <c r="H248" s="5">
        <f t="shared" si="28"/>
        <v>1210.1571381062756</v>
      </c>
      <c r="I248" s="3" t="str">
        <f t="shared" si="30"/>
        <v>Unpaid</v>
      </c>
      <c r="J248" s="6">
        <f t="shared" si="31"/>
        <v>244136.17839313796</v>
      </c>
    </row>
    <row r="249" spans="2:10">
      <c r="B249" s="3" cm="1">
        <f t="array" ref="B249">IF(ROW()-ROW($B$7)&lt;=duration,ROW()-ROW($B$7),"")</f>
        <v>242</v>
      </c>
      <c r="C249" s="4">
        <f t="shared" si="29"/>
        <v>52906</v>
      </c>
      <c r="D249" s="6">
        <f t="shared" si="24"/>
        <v>1007.5825345419655</v>
      </c>
      <c r="E249" s="6">
        <f t="shared" si="25"/>
        <v>145.69460356430997</v>
      </c>
      <c r="F249" s="5">
        <f t="shared" si="26"/>
        <v>1153.2771381062755</v>
      </c>
      <c r="G249" s="6">
        <f t="shared" si="27"/>
        <v>56.88</v>
      </c>
      <c r="H249" s="5">
        <f t="shared" si="28"/>
        <v>1210.1571381062756</v>
      </c>
      <c r="I249" s="3" t="str">
        <f t="shared" si="30"/>
        <v>Unpaid</v>
      </c>
      <c r="J249" s="6">
        <f t="shared" si="31"/>
        <v>244136.17839313796</v>
      </c>
    </row>
    <row r="250" spans="2:10">
      <c r="B250" s="3" cm="1">
        <f t="array" ref="B250">IF(ROW()-ROW($B$7)&lt;=duration,ROW()-ROW($B$7),"")</f>
        <v>243</v>
      </c>
      <c r="C250" s="4">
        <f t="shared" si="29"/>
        <v>52936</v>
      </c>
      <c r="D250" s="6">
        <f t="shared" si="24"/>
        <v>1009.8915778502909</v>
      </c>
      <c r="E250" s="6">
        <f t="shared" si="25"/>
        <v>143.38556025598461</v>
      </c>
      <c r="F250" s="5">
        <f t="shared" si="26"/>
        <v>1153.2771381062755</v>
      </c>
      <c r="G250" s="6">
        <f t="shared" si="27"/>
        <v>56.88</v>
      </c>
      <c r="H250" s="5">
        <f t="shared" si="28"/>
        <v>1210.1571381062756</v>
      </c>
      <c r="I250" s="3" t="str">
        <f t="shared" si="30"/>
        <v>Unpaid</v>
      </c>
      <c r="J250" s="6">
        <f t="shared" si="31"/>
        <v>244136.17839313796</v>
      </c>
    </row>
    <row r="251" spans="2:10">
      <c r="B251" s="3" cm="1">
        <f t="array" ref="B251">IF(ROW()-ROW($B$7)&lt;=duration,ROW()-ROW($B$7),"")</f>
        <v>244</v>
      </c>
      <c r="C251" s="4">
        <f t="shared" si="29"/>
        <v>52967</v>
      </c>
      <c r="D251" s="6">
        <f t="shared" si="24"/>
        <v>1012.2059127161978</v>
      </c>
      <c r="E251" s="6">
        <f t="shared" si="25"/>
        <v>141.07122539007773</v>
      </c>
      <c r="F251" s="5">
        <f t="shared" si="26"/>
        <v>1153.2771381062755</v>
      </c>
      <c r="G251" s="6">
        <f t="shared" si="27"/>
        <v>56.88</v>
      </c>
      <c r="H251" s="5">
        <f t="shared" si="28"/>
        <v>1210.1571381062756</v>
      </c>
      <c r="I251" s="3" t="str">
        <f t="shared" si="30"/>
        <v>Unpaid</v>
      </c>
      <c r="J251" s="6">
        <f t="shared" si="31"/>
        <v>244136.17839313796</v>
      </c>
    </row>
    <row r="252" spans="2:10">
      <c r="B252" s="3" cm="1">
        <f t="array" ref="B252">IF(ROW()-ROW($B$7)&lt;=duration,ROW()-ROW($B$7),"")</f>
        <v>245</v>
      </c>
      <c r="C252" s="4">
        <f t="shared" si="29"/>
        <v>52998</v>
      </c>
      <c r="D252" s="6">
        <f t="shared" si="24"/>
        <v>1014.5255512661724</v>
      </c>
      <c r="E252" s="6">
        <f t="shared" si="25"/>
        <v>138.75158684010307</v>
      </c>
      <c r="F252" s="5">
        <f t="shared" si="26"/>
        <v>1153.2771381062755</v>
      </c>
      <c r="G252" s="6">
        <f t="shared" si="27"/>
        <v>56.88</v>
      </c>
      <c r="H252" s="5">
        <f t="shared" si="28"/>
        <v>1210.1571381062756</v>
      </c>
      <c r="I252" s="3" t="str">
        <f t="shared" si="30"/>
        <v>Unpaid</v>
      </c>
      <c r="J252" s="6">
        <f t="shared" si="31"/>
        <v>244136.17839313796</v>
      </c>
    </row>
    <row r="253" spans="2:10">
      <c r="B253" s="3" cm="1">
        <f t="array" ref="B253">IF(ROW()-ROW($B$7)&lt;=duration,ROW()-ROW($B$7),"")</f>
        <v>246</v>
      </c>
      <c r="C253" s="4">
        <f t="shared" si="29"/>
        <v>53026</v>
      </c>
      <c r="D253" s="6">
        <f t="shared" si="24"/>
        <v>1016.8505056544907</v>
      </c>
      <c r="E253" s="6">
        <f t="shared" si="25"/>
        <v>136.4266324517848</v>
      </c>
      <c r="F253" s="5">
        <f t="shared" si="26"/>
        <v>1153.2771381062755</v>
      </c>
      <c r="G253" s="6">
        <f t="shared" si="27"/>
        <v>56.88</v>
      </c>
      <c r="H253" s="5">
        <f t="shared" si="28"/>
        <v>1210.1571381062756</v>
      </c>
      <c r="I253" s="3" t="str">
        <f t="shared" si="30"/>
        <v>Unpaid</v>
      </c>
      <c r="J253" s="6">
        <f t="shared" si="31"/>
        <v>244136.17839313796</v>
      </c>
    </row>
    <row r="254" spans="2:10">
      <c r="B254" s="3" cm="1">
        <f t="array" ref="B254">IF(ROW()-ROW($B$7)&lt;=duration,ROW()-ROW($B$7),"")</f>
        <v>247</v>
      </c>
      <c r="C254" s="4">
        <f t="shared" si="29"/>
        <v>53057</v>
      </c>
      <c r="D254" s="6">
        <f t="shared" si="24"/>
        <v>1019.1807880632823</v>
      </c>
      <c r="E254" s="6">
        <f t="shared" si="25"/>
        <v>134.09635004299324</v>
      </c>
      <c r="F254" s="5">
        <f t="shared" si="26"/>
        <v>1153.2771381062755</v>
      </c>
      <c r="G254" s="6">
        <f t="shared" si="27"/>
        <v>56.88</v>
      </c>
      <c r="H254" s="5">
        <f t="shared" si="28"/>
        <v>1210.1571381062756</v>
      </c>
      <c r="I254" s="3" t="str">
        <f t="shared" si="30"/>
        <v>Unpaid</v>
      </c>
      <c r="J254" s="6">
        <f t="shared" si="31"/>
        <v>244136.17839313796</v>
      </c>
    </row>
    <row r="255" spans="2:10">
      <c r="B255" s="3" cm="1">
        <f t="array" ref="B255">IF(ROW()-ROW($B$7)&lt;=duration,ROW()-ROW($B$7),"")</f>
        <v>248</v>
      </c>
      <c r="C255" s="4">
        <f t="shared" si="29"/>
        <v>53087</v>
      </c>
      <c r="D255" s="6">
        <f t="shared" si="24"/>
        <v>1021.5164107025939</v>
      </c>
      <c r="E255" s="6">
        <f t="shared" si="25"/>
        <v>131.76072740368156</v>
      </c>
      <c r="F255" s="5">
        <f t="shared" si="26"/>
        <v>1153.2771381062755</v>
      </c>
      <c r="G255" s="6">
        <f t="shared" si="27"/>
        <v>56.88</v>
      </c>
      <c r="H255" s="5">
        <f t="shared" si="28"/>
        <v>1210.1571381062756</v>
      </c>
      <c r="I255" s="3" t="str">
        <f t="shared" si="30"/>
        <v>Unpaid</v>
      </c>
      <c r="J255" s="6">
        <f t="shared" si="31"/>
        <v>244136.17839313796</v>
      </c>
    </row>
    <row r="256" spans="2:10">
      <c r="B256" s="3" cm="1">
        <f t="array" ref="B256">IF(ROW()-ROW($B$7)&lt;=duration,ROW()-ROW($B$7),"")</f>
        <v>249</v>
      </c>
      <c r="C256" s="4">
        <f t="shared" si="29"/>
        <v>53118</v>
      </c>
      <c r="D256" s="6">
        <f t="shared" si="24"/>
        <v>1023.857385810454</v>
      </c>
      <c r="E256" s="6">
        <f t="shared" si="25"/>
        <v>129.41975229582144</v>
      </c>
      <c r="F256" s="5">
        <f t="shared" si="26"/>
        <v>1153.2771381062755</v>
      </c>
      <c r="G256" s="6">
        <f t="shared" si="27"/>
        <v>56.88</v>
      </c>
      <c r="H256" s="5">
        <f t="shared" si="28"/>
        <v>1210.1571381062756</v>
      </c>
      <c r="I256" s="3" t="str">
        <f t="shared" si="30"/>
        <v>Unpaid</v>
      </c>
      <c r="J256" s="6">
        <f t="shared" si="31"/>
        <v>244136.17839313796</v>
      </c>
    </row>
    <row r="257" spans="2:10">
      <c r="B257" s="3" cm="1">
        <f t="array" ref="B257">IF(ROW()-ROW($B$7)&lt;=duration,ROW()-ROW($B$7),"")</f>
        <v>250</v>
      </c>
      <c r="C257" s="4">
        <f t="shared" si="29"/>
        <v>53148</v>
      </c>
      <c r="D257" s="6">
        <f t="shared" si="24"/>
        <v>1026.2037256529363</v>
      </c>
      <c r="E257" s="6">
        <f t="shared" si="25"/>
        <v>127.07341245333915</v>
      </c>
      <c r="F257" s="5">
        <f t="shared" si="26"/>
        <v>1153.2771381062755</v>
      </c>
      <c r="G257" s="6">
        <f t="shared" si="27"/>
        <v>56.88</v>
      </c>
      <c r="H257" s="5">
        <f t="shared" si="28"/>
        <v>1210.1571381062756</v>
      </c>
      <c r="I257" s="3" t="str">
        <f t="shared" si="30"/>
        <v>Unpaid</v>
      </c>
      <c r="J257" s="6">
        <f t="shared" si="31"/>
        <v>244136.17839313796</v>
      </c>
    </row>
    <row r="258" spans="2:10">
      <c r="B258" s="3" cm="1">
        <f t="array" ref="B258">IF(ROW()-ROW($B$7)&lt;=duration,ROW()-ROW($B$7),"")</f>
        <v>251</v>
      </c>
      <c r="C258" s="4">
        <f t="shared" si="29"/>
        <v>53179</v>
      </c>
      <c r="D258" s="6">
        <f t="shared" si="24"/>
        <v>1028.5554425242244</v>
      </c>
      <c r="E258" s="6">
        <f t="shared" si="25"/>
        <v>124.72169558205118</v>
      </c>
      <c r="F258" s="5">
        <f t="shared" si="26"/>
        <v>1153.2771381062755</v>
      </c>
      <c r="G258" s="6">
        <f t="shared" si="27"/>
        <v>56.88</v>
      </c>
      <c r="H258" s="5">
        <f t="shared" si="28"/>
        <v>1210.1571381062756</v>
      </c>
      <c r="I258" s="3" t="str">
        <f t="shared" si="30"/>
        <v>Unpaid</v>
      </c>
      <c r="J258" s="6">
        <f t="shared" si="31"/>
        <v>244136.17839313796</v>
      </c>
    </row>
    <row r="259" spans="2:10">
      <c r="B259" s="3" cm="1">
        <f t="array" ref="B259">IF(ROW()-ROW($B$7)&lt;=duration,ROW()-ROW($B$7),"")</f>
        <v>252</v>
      </c>
      <c r="C259" s="4">
        <f t="shared" si="29"/>
        <v>53210</v>
      </c>
      <c r="D259" s="6">
        <f t="shared" si="24"/>
        <v>1030.9125487466756</v>
      </c>
      <c r="E259" s="6">
        <f t="shared" si="25"/>
        <v>122.36458935959982</v>
      </c>
      <c r="F259" s="5">
        <f t="shared" si="26"/>
        <v>1153.2771381062755</v>
      </c>
      <c r="G259" s="6">
        <f t="shared" si="27"/>
        <v>56.88</v>
      </c>
      <c r="H259" s="5">
        <f t="shared" si="28"/>
        <v>1210.1571381062756</v>
      </c>
      <c r="I259" s="3" t="str">
        <f t="shared" si="30"/>
        <v>Unpaid</v>
      </c>
      <c r="J259" s="6">
        <f t="shared" si="31"/>
        <v>244136.17839313796</v>
      </c>
    </row>
    <row r="260" spans="2:10">
      <c r="B260" s="3" cm="1">
        <f t="array" ref="B260">IF(ROW()-ROW($B$7)&lt;=duration,ROW()-ROW($B$7),"")</f>
        <v>253</v>
      </c>
      <c r="C260" s="4">
        <f t="shared" si="29"/>
        <v>53240</v>
      </c>
      <c r="D260" s="6">
        <f t="shared" si="24"/>
        <v>1033.2750566708869</v>
      </c>
      <c r="E260" s="6">
        <f t="shared" si="25"/>
        <v>120.00208143538867</v>
      </c>
      <c r="F260" s="5">
        <f t="shared" si="26"/>
        <v>1153.2771381062755</v>
      </c>
      <c r="G260" s="6">
        <f t="shared" si="27"/>
        <v>56.88</v>
      </c>
      <c r="H260" s="5">
        <f t="shared" si="28"/>
        <v>1210.1571381062756</v>
      </c>
      <c r="I260" s="3" t="str">
        <f t="shared" si="30"/>
        <v>Unpaid</v>
      </c>
      <c r="J260" s="6">
        <f t="shared" si="31"/>
        <v>244136.17839313796</v>
      </c>
    </row>
    <row r="261" spans="2:10">
      <c r="B261" s="3" cm="1">
        <f t="array" ref="B261">IF(ROW()-ROW($B$7)&lt;=duration,ROW()-ROW($B$7),"")</f>
        <v>254</v>
      </c>
      <c r="C261" s="4">
        <f t="shared" si="29"/>
        <v>53271</v>
      </c>
      <c r="D261" s="6">
        <f t="shared" si="24"/>
        <v>1035.6429786757576</v>
      </c>
      <c r="E261" s="6">
        <f t="shared" si="25"/>
        <v>117.6341594305179</v>
      </c>
      <c r="F261" s="5">
        <f t="shared" si="26"/>
        <v>1153.2771381062755</v>
      </c>
      <c r="G261" s="6">
        <f t="shared" si="27"/>
        <v>56.88</v>
      </c>
      <c r="H261" s="5">
        <f t="shared" si="28"/>
        <v>1210.1571381062756</v>
      </c>
      <c r="I261" s="3" t="str">
        <f t="shared" si="30"/>
        <v>Unpaid</v>
      </c>
      <c r="J261" s="6">
        <f t="shared" si="31"/>
        <v>244136.17839313796</v>
      </c>
    </row>
    <row r="262" spans="2:10">
      <c r="B262" s="3" cm="1">
        <f t="array" ref="B262">IF(ROW()-ROW($B$7)&lt;=duration,ROW()-ROW($B$7),"")</f>
        <v>255</v>
      </c>
      <c r="C262" s="4">
        <f t="shared" si="29"/>
        <v>53301</v>
      </c>
      <c r="D262" s="6">
        <f t="shared" si="24"/>
        <v>1038.0163271685562</v>
      </c>
      <c r="E262" s="6">
        <f t="shared" si="25"/>
        <v>115.2608109377193</v>
      </c>
      <c r="F262" s="5">
        <f t="shared" si="26"/>
        <v>1153.2771381062755</v>
      </c>
      <c r="G262" s="6">
        <f t="shared" si="27"/>
        <v>56.88</v>
      </c>
      <c r="H262" s="5">
        <f t="shared" si="28"/>
        <v>1210.1571381062756</v>
      </c>
      <c r="I262" s="3" t="str">
        <f t="shared" si="30"/>
        <v>Unpaid</v>
      </c>
      <c r="J262" s="6">
        <f t="shared" si="31"/>
        <v>244136.17839313796</v>
      </c>
    </row>
    <row r="263" spans="2:10">
      <c r="B263" s="3" cm="1">
        <f t="array" ref="B263">IF(ROW()-ROW($B$7)&lt;=duration,ROW()-ROW($B$7),"")</f>
        <v>256</v>
      </c>
      <c r="C263" s="4">
        <f t="shared" si="29"/>
        <v>53332</v>
      </c>
      <c r="D263" s="6">
        <f t="shared" si="24"/>
        <v>1040.3951145849842</v>
      </c>
      <c r="E263" s="6">
        <f t="shared" si="25"/>
        <v>112.88202352129136</v>
      </c>
      <c r="F263" s="5">
        <f t="shared" si="26"/>
        <v>1153.2771381062755</v>
      </c>
      <c r="G263" s="6">
        <f t="shared" si="27"/>
        <v>56.88</v>
      </c>
      <c r="H263" s="5">
        <f t="shared" si="28"/>
        <v>1210.1571381062756</v>
      </c>
      <c r="I263" s="3" t="str">
        <f t="shared" si="30"/>
        <v>Unpaid</v>
      </c>
      <c r="J263" s="6">
        <f t="shared" si="31"/>
        <v>244136.17839313796</v>
      </c>
    </row>
    <row r="264" spans="2:10">
      <c r="B264" s="3" cm="1">
        <f t="array" ref="B264">IF(ROW()-ROW($B$7)&lt;=duration,ROW()-ROW($B$7),"")</f>
        <v>257</v>
      </c>
      <c r="C264" s="4">
        <f t="shared" si="29"/>
        <v>53363</v>
      </c>
      <c r="D264" s="6">
        <f t="shared" ref="D264:D307" si="32">IF(B264="","",F264-E264)</f>
        <v>1042.7793533892414</v>
      </c>
      <c r="E264" s="6">
        <f t="shared" ref="E264:E307" si="33">IF(B264="","",IPMT(_xlfn.SINGLE(loanInterestRate)/12,B264,duration,-_xlfn.SINGLE(principle)))</f>
        <v>110.49778471703411</v>
      </c>
      <c r="F264" s="5">
        <f t="shared" ref="F264:F307" si="34">IF(B264="", "", EMI)</f>
        <v>1153.2771381062755</v>
      </c>
      <c r="G264" s="6">
        <f t="shared" ref="G264:G307" si="35">IF(B264="","",insurancePerMonth)</f>
        <v>56.88</v>
      </c>
      <c r="H264" s="5">
        <f t="shared" ref="H264:H307" si="36">IF(B264="","",F264+G264)</f>
        <v>1210.1571381062756</v>
      </c>
      <c r="I264" s="3" t="str">
        <f t="shared" si="30"/>
        <v>Unpaid</v>
      </c>
      <c r="J264" s="6">
        <f t="shared" si="31"/>
        <v>244136.17839313796</v>
      </c>
    </row>
    <row r="265" spans="2:10">
      <c r="B265" s="3" cm="1">
        <f t="array" ref="B265">IF(ROW()-ROW($B$7)&lt;=duration,ROW()-ROW($B$7),"")</f>
        <v>258</v>
      </c>
      <c r="C265" s="4">
        <f t="shared" si="29"/>
        <v>53391</v>
      </c>
      <c r="D265" s="6">
        <f t="shared" si="32"/>
        <v>1045.1690560740917</v>
      </c>
      <c r="E265" s="6">
        <f t="shared" si="33"/>
        <v>108.10808203218376</v>
      </c>
      <c r="F265" s="5">
        <f t="shared" si="34"/>
        <v>1153.2771381062755</v>
      </c>
      <c r="G265" s="6">
        <f t="shared" si="35"/>
        <v>56.88</v>
      </c>
      <c r="H265" s="5">
        <f t="shared" si="36"/>
        <v>1210.1571381062756</v>
      </c>
      <c r="I265" s="3" t="str">
        <f t="shared" si="30"/>
        <v>Unpaid</v>
      </c>
      <c r="J265" s="6">
        <f t="shared" si="31"/>
        <v>244136.17839313796</v>
      </c>
    </row>
    <row r="266" spans="2:10">
      <c r="B266" s="3" cm="1">
        <f t="array" ref="B266">IF(ROW()-ROW($B$7)&lt;=duration,ROW()-ROW($B$7),"")</f>
        <v>259</v>
      </c>
      <c r="C266" s="4">
        <f t="shared" ref="C266:C307" si="37">IF(B266="","",EOMONTH(C265,0)+5)</f>
        <v>53422</v>
      </c>
      <c r="D266" s="6">
        <f t="shared" si="32"/>
        <v>1047.5642351609283</v>
      </c>
      <c r="E266" s="6">
        <f t="shared" si="33"/>
        <v>105.7129029453473</v>
      </c>
      <c r="F266" s="5">
        <f t="shared" si="34"/>
        <v>1153.2771381062755</v>
      </c>
      <c r="G266" s="6">
        <f t="shared" si="35"/>
        <v>56.88</v>
      </c>
      <c r="H266" s="5">
        <f t="shared" si="36"/>
        <v>1210.1571381062756</v>
      </c>
      <c r="I266" s="3" t="str">
        <f t="shared" ref="I266:I307" si="38">IF(B266="","","Unpaid")</f>
        <v>Unpaid</v>
      </c>
      <c r="J266" s="6">
        <f t="shared" ref="J266:J307" si="39">IF(B266="","",IF(I266="Unpaid",J265,J265-D266))</f>
        <v>244136.17839313796</v>
      </c>
    </row>
    <row r="267" spans="2:10">
      <c r="B267" s="3" cm="1">
        <f t="array" ref="B267">IF(ROW()-ROW($B$7)&lt;=duration,ROW()-ROW($B$7),"")</f>
        <v>260</v>
      </c>
      <c r="C267" s="4">
        <f t="shared" si="37"/>
        <v>53452</v>
      </c>
      <c r="D267" s="6">
        <f t="shared" si="32"/>
        <v>1049.9649031998388</v>
      </c>
      <c r="E267" s="6">
        <f t="shared" si="33"/>
        <v>103.31223490643683</v>
      </c>
      <c r="F267" s="5">
        <f t="shared" si="34"/>
        <v>1153.2771381062755</v>
      </c>
      <c r="G267" s="6">
        <f t="shared" si="35"/>
        <v>56.88</v>
      </c>
      <c r="H267" s="5">
        <f t="shared" si="36"/>
        <v>1210.1571381062756</v>
      </c>
      <c r="I267" s="3" t="str">
        <f t="shared" si="38"/>
        <v>Unpaid</v>
      </c>
      <c r="J267" s="6">
        <f t="shared" si="39"/>
        <v>244136.17839313796</v>
      </c>
    </row>
    <row r="268" spans="2:10">
      <c r="B268" s="3" cm="1">
        <f t="array" ref="B268">IF(ROW()-ROW($B$7)&lt;=duration,ROW()-ROW($B$7),"")</f>
        <v>261</v>
      </c>
      <c r="C268" s="4">
        <f t="shared" si="37"/>
        <v>53483</v>
      </c>
      <c r="D268" s="6">
        <f t="shared" si="32"/>
        <v>1052.3710727696716</v>
      </c>
      <c r="E268" s="6">
        <f t="shared" si="33"/>
        <v>100.90606533660389</v>
      </c>
      <c r="F268" s="5">
        <f t="shared" si="34"/>
        <v>1153.2771381062755</v>
      </c>
      <c r="G268" s="6">
        <f t="shared" si="35"/>
        <v>56.88</v>
      </c>
      <c r="H268" s="5">
        <f t="shared" si="36"/>
        <v>1210.1571381062756</v>
      </c>
      <c r="I268" s="3" t="str">
        <f t="shared" si="38"/>
        <v>Unpaid</v>
      </c>
      <c r="J268" s="6">
        <f t="shared" si="39"/>
        <v>244136.17839313796</v>
      </c>
    </row>
    <row r="269" spans="2:10">
      <c r="B269" s="3" cm="1">
        <f t="array" ref="B269">IF(ROW()-ROW($B$7)&lt;=duration,ROW()-ROW($B$7),"")</f>
        <v>262</v>
      </c>
      <c r="C269" s="4">
        <f t="shared" si="37"/>
        <v>53513</v>
      </c>
      <c r="D269" s="6">
        <f t="shared" si="32"/>
        <v>1054.7827564781021</v>
      </c>
      <c r="E269" s="6">
        <f t="shared" si="33"/>
        <v>98.494381628173386</v>
      </c>
      <c r="F269" s="5">
        <f t="shared" si="34"/>
        <v>1153.2771381062755</v>
      </c>
      <c r="G269" s="6">
        <f t="shared" si="35"/>
        <v>56.88</v>
      </c>
      <c r="H269" s="5">
        <f t="shared" si="36"/>
        <v>1210.1571381062756</v>
      </c>
      <c r="I269" s="3" t="str">
        <f t="shared" si="38"/>
        <v>Unpaid</v>
      </c>
      <c r="J269" s="6">
        <f t="shared" si="39"/>
        <v>244136.17839313796</v>
      </c>
    </row>
    <row r="270" spans="2:10">
      <c r="B270" s="3" cm="1">
        <f t="array" ref="B270">IF(ROW()-ROW($B$7)&lt;=duration,ROW()-ROW($B$7),"")</f>
        <v>263</v>
      </c>
      <c r="C270" s="4">
        <f t="shared" si="37"/>
        <v>53544</v>
      </c>
      <c r="D270" s="6">
        <f t="shared" si="32"/>
        <v>1057.1999669616978</v>
      </c>
      <c r="E270" s="6">
        <f t="shared" si="33"/>
        <v>96.077171144577733</v>
      </c>
      <c r="F270" s="5">
        <f t="shared" si="34"/>
        <v>1153.2771381062755</v>
      </c>
      <c r="G270" s="6">
        <f t="shared" si="35"/>
        <v>56.88</v>
      </c>
      <c r="H270" s="5">
        <f t="shared" si="36"/>
        <v>1210.1571381062756</v>
      </c>
      <c r="I270" s="3" t="str">
        <f t="shared" si="38"/>
        <v>Unpaid</v>
      </c>
      <c r="J270" s="6">
        <f t="shared" si="39"/>
        <v>244136.17839313796</v>
      </c>
    </row>
    <row r="271" spans="2:10">
      <c r="B271" s="3" cm="1">
        <f t="array" ref="B271">IF(ROW()-ROW($B$7)&lt;=duration,ROW()-ROW($B$7),"")</f>
        <v>264</v>
      </c>
      <c r="C271" s="4">
        <f t="shared" si="37"/>
        <v>53575</v>
      </c>
      <c r="D271" s="6">
        <f t="shared" si="32"/>
        <v>1059.622716885985</v>
      </c>
      <c r="E271" s="6">
        <f t="shared" si="33"/>
        <v>93.654421220290502</v>
      </c>
      <c r="F271" s="5">
        <f t="shared" si="34"/>
        <v>1153.2771381062755</v>
      </c>
      <c r="G271" s="6">
        <f t="shared" si="35"/>
        <v>56.88</v>
      </c>
      <c r="H271" s="5">
        <f t="shared" si="36"/>
        <v>1210.1571381062756</v>
      </c>
      <c r="I271" s="3" t="str">
        <f t="shared" si="38"/>
        <v>Unpaid</v>
      </c>
      <c r="J271" s="6">
        <f t="shared" si="39"/>
        <v>244136.17839313796</v>
      </c>
    </row>
    <row r="272" spans="2:10">
      <c r="B272" s="3" cm="1">
        <f t="array" ref="B272">IF(ROW()-ROW($B$7)&lt;=duration,ROW()-ROW($B$7),"")</f>
        <v>265</v>
      </c>
      <c r="C272" s="4">
        <f t="shared" si="37"/>
        <v>53605</v>
      </c>
      <c r="D272" s="6">
        <f t="shared" si="32"/>
        <v>1062.0510189455154</v>
      </c>
      <c r="E272" s="6">
        <f t="shared" si="33"/>
        <v>91.226119160760121</v>
      </c>
      <c r="F272" s="5">
        <f t="shared" si="34"/>
        <v>1153.2771381062755</v>
      </c>
      <c r="G272" s="6">
        <f t="shared" si="35"/>
        <v>56.88</v>
      </c>
      <c r="H272" s="5">
        <f t="shared" si="36"/>
        <v>1210.1571381062756</v>
      </c>
      <c r="I272" s="3" t="str">
        <f t="shared" si="38"/>
        <v>Unpaid</v>
      </c>
      <c r="J272" s="6">
        <f t="shared" si="39"/>
        <v>244136.17839313796</v>
      </c>
    </row>
    <row r="273" spans="2:10">
      <c r="B273" s="3" cm="1">
        <f t="array" ref="B273">IF(ROW()-ROW($B$7)&lt;=duration,ROW()-ROW($B$7),"")</f>
        <v>266</v>
      </c>
      <c r="C273" s="4">
        <f t="shared" si="37"/>
        <v>53636</v>
      </c>
      <c r="D273" s="6">
        <f t="shared" si="32"/>
        <v>1064.4848858639323</v>
      </c>
      <c r="E273" s="6">
        <f t="shared" si="33"/>
        <v>88.792252242343324</v>
      </c>
      <c r="F273" s="5">
        <f t="shared" si="34"/>
        <v>1153.2771381062755</v>
      </c>
      <c r="G273" s="6">
        <f t="shared" si="35"/>
        <v>56.88</v>
      </c>
      <c r="H273" s="5">
        <f t="shared" si="36"/>
        <v>1210.1571381062756</v>
      </c>
      <c r="I273" s="3" t="str">
        <f t="shared" si="38"/>
        <v>Unpaid</v>
      </c>
      <c r="J273" s="6">
        <f t="shared" si="39"/>
        <v>244136.17839313796</v>
      </c>
    </row>
    <row r="274" spans="2:10">
      <c r="B274" s="3" cm="1">
        <f t="array" ref="B274">IF(ROW()-ROW($B$7)&lt;=duration,ROW()-ROW($B$7),"")</f>
        <v>267</v>
      </c>
      <c r="C274" s="4">
        <f t="shared" si="37"/>
        <v>53666</v>
      </c>
      <c r="D274" s="6">
        <f t="shared" si="32"/>
        <v>1066.924330394037</v>
      </c>
      <c r="E274" s="6">
        <f t="shared" si="33"/>
        <v>86.352807712238473</v>
      </c>
      <c r="F274" s="5">
        <f t="shared" si="34"/>
        <v>1153.2771381062755</v>
      </c>
      <c r="G274" s="6">
        <f t="shared" si="35"/>
        <v>56.88</v>
      </c>
      <c r="H274" s="5">
        <f t="shared" si="36"/>
        <v>1210.1571381062756</v>
      </c>
      <c r="I274" s="3" t="str">
        <f t="shared" si="38"/>
        <v>Unpaid</v>
      </c>
      <c r="J274" s="6">
        <f t="shared" si="39"/>
        <v>244136.17839313796</v>
      </c>
    </row>
    <row r="275" spans="2:10">
      <c r="B275" s="3" cm="1">
        <f t="array" ref="B275">IF(ROW()-ROW($B$7)&lt;=duration,ROW()-ROW($B$7),"")</f>
        <v>268</v>
      </c>
      <c r="C275" s="4">
        <f t="shared" si="37"/>
        <v>53697</v>
      </c>
      <c r="D275" s="6">
        <f t="shared" si="32"/>
        <v>1069.3693653178568</v>
      </c>
      <c r="E275" s="6">
        <f t="shared" si="33"/>
        <v>83.907772788418796</v>
      </c>
      <c r="F275" s="5">
        <f t="shared" si="34"/>
        <v>1153.2771381062755</v>
      </c>
      <c r="G275" s="6">
        <f t="shared" si="35"/>
        <v>56.88</v>
      </c>
      <c r="H275" s="5">
        <f t="shared" si="36"/>
        <v>1210.1571381062756</v>
      </c>
      <c r="I275" s="3" t="str">
        <f t="shared" si="38"/>
        <v>Unpaid</v>
      </c>
      <c r="J275" s="6">
        <f t="shared" si="39"/>
        <v>244136.17839313796</v>
      </c>
    </row>
    <row r="276" spans="2:10">
      <c r="B276" s="3" cm="1">
        <f t="array" ref="B276">IF(ROW()-ROW($B$7)&lt;=duration,ROW()-ROW($B$7),"")</f>
        <v>269</v>
      </c>
      <c r="C276" s="4">
        <f t="shared" si="37"/>
        <v>53728</v>
      </c>
      <c r="D276" s="6">
        <f t="shared" si="32"/>
        <v>1071.8200034467102</v>
      </c>
      <c r="E276" s="6">
        <f t="shared" si="33"/>
        <v>81.457134659565384</v>
      </c>
      <c r="F276" s="5">
        <f t="shared" si="34"/>
        <v>1153.2771381062755</v>
      </c>
      <c r="G276" s="6">
        <f t="shared" si="35"/>
        <v>56.88</v>
      </c>
      <c r="H276" s="5">
        <f t="shared" si="36"/>
        <v>1210.1571381062756</v>
      </c>
      <c r="I276" s="3" t="str">
        <f t="shared" si="38"/>
        <v>Unpaid</v>
      </c>
      <c r="J276" s="6">
        <f t="shared" si="39"/>
        <v>244136.17839313796</v>
      </c>
    </row>
    <row r="277" spans="2:10">
      <c r="B277" s="3" cm="1">
        <f t="array" ref="B277">IF(ROW()-ROW($B$7)&lt;=duration,ROW()-ROW($B$7),"")</f>
        <v>270</v>
      </c>
      <c r="C277" s="4">
        <f t="shared" si="37"/>
        <v>53756</v>
      </c>
      <c r="D277" s="6">
        <f t="shared" si="32"/>
        <v>1074.2762576212756</v>
      </c>
      <c r="E277" s="6">
        <f t="shared" si="33"/>
        <v>79.00088048500001</v>
      </c>
      <c r="F277" s="5">
        <f t="shared" si="34"/>
        <v>1153.2771381062755</v>
      </c>
      <c r="G277" s="6">
        <f t="shared" si="35"/>
        <v>56.88</v>
      </c>
      <c r="H277" s="5">
        <f t="shared" si="36"/>
        <v>1210.1571381062756</v>
      </c>
      <c r="I277" s="3" t="str">
        <f t="shared" si="38"/>
        <v>Unpaid</v>
      </c>
      <c r="J277" s="6">
        <f t="shared" si="39"/>
        <v>244136.17839313796</v>
      </c>
    </row>
    <row r="278" spans="2:10">
      <c r="B278" s="3" cm="1">
        <f t="array" ref="B278">IF(ROW()-ROW($B$7)&lt;=duration,ROW()-ROW($B$7),"")</f>
        <v>271</v>
      </c>
      <c r="C278" s="4">
        <f t="shared" si="37"/>
        <v>53787</v>
      </c>
      <c r="D278" s="6">
        <f t="shared" si="32"/>
        <v>1076.7381407116577</v>
      </c>
      <c r="E278" s="6">
        <f t="shared" si="33"/>
        <v>76.538997394617908</v>
      </c>
      <c r="F278" s="5">
        <f t="shared" si="34"/>
        <v>1153.2771381062755</v>
      </c>
      <c r="G278" s="6">
        <f t="shared" si="35"/>
        <v>56.88</v>
      </c>
      <c r="H278" s="5">
        <f t="shared" si="36"/>
        <v>1210.1571381062756</v>
      </c>
      <c r="I278" s="3" t="str">
        <f t="shared" si="38"/>
        <v>Unpaid</v>
      </c>
      <c r="J278" s="6">
        <f t="shared" si="39"/>
        <v>244136.17839313796</v>
      </c>
    </row>
    <row r="279" spans="2:10">
      <c r="B279" s="3" cm="1">
        <f t="array" ref="B279">IF(ROW()-ROW($B$7)&lt;=duration,ROW()-ROW($B$7),"")</f>
        <v>272</v>
      </c>
      <c r="C279" s="4">
        <f t="shared" si="37"/>
        <v>53817</v>
      </c>
      <c r="D279" s="6">
        <f t="shared" si="32"/>
        <v>1079.2056656174552</v>
      </c>
      <c r="E279" s="6">
        <f t="shared" si="33"/>
        <v>74.071472488820362</v>
      </c>
      <c r="F279" s="5">
        <f t="shared" si="34"/>
        <v>1153.2771381062755</v>
      </c>
      <c r="G279" s="6">
        <f t="shared" si="35"/>
        <v>56.88</v>
      </c>
      <c r="H279" s="5">
        <f t="shared" si="36"/>
        <v>1210.1571381062756</v>
      </c>
      <c r="I279" s="3" t="str">
        <f t="shared" si="38"/>
        <v>Unpaid</v>
      </c>
      <c r="J279" s="6">
        <f t="shared" si="39"/>
        <v>244136.17839313796</v>
      </c>
    </row>
    <row r="280" spans="2:10">
      <c r="B280" s="3" cm="1">
        <f t="array" ref="B280">IF(ROW()-ROW($B$7)&lt;=duration,ROW()-ROW($B$7),"")</f>
        <v>273</v>
      </c>
      <c r="C280" s="4">
        <f t="shared" si="37"/>
        <v>53848</v>
      </c>
      <c r="D280" s="6">
        <f t="shared" si="32"/>
        <v>1081.6788452678284</v>
      </c>
      <c r="E280" s="6">
        <f t="shared" si="33"/>
        <v>71.598292838447037</v>
      </c>
      <c r="F280" s="5">
        <f t="shared" si="34"/>
        <v>1153.2771381062755</v>
      </c>
      <c r="G280" s="6">
        <f t="shared" si="35"/>
        <v>56.88</v>
      </c>
      <c r="H280" s="5">
        <f t="shared" si="36"/>
        <v>1210.1571381062756</v>
      </c>
      <c r="I280" s="3" t="str">
        <f t="shared" si="38"/>
        <v>Unpaid</v>
      </c>
      <c r="J280" s="6">
        <f t="shared" si="39"/>
        <v>244136.17839313796</v>
      </c>
    </row>
    <row r="281" spans="2:10">
      <c r="B281" s="3" cm="1">
        <f t="array" ref="B281">IF(ROW()-ROW($B$7)&lt;=duration,ROW()-ROW($B$7),"")</f>
        <v>274</v>
      </c>
      <c r="C281" s="4">
        <f t="shared" si="37"/>
        <v>53878</v>
      </c>
      <c r="D281" s="6">
        <f t="shared" si="32"/>
        <v>1084.1576926215673</v>
      </c>
      <c r="E281" s="6">
        <f t="shared" si="33"/>
        <v>69.119445484708265</v>
      </c>
      <c r="F281" s="5">
        <f t="shared" si="34"/>
        <v>1153.2771381062755</v>
      </c>
      <c r="G281" s="6">
        <f t="shared" si="35"/>
        <v>56.88</v>
      </c>
      <c r="H281" s="5">
        <f t="shared" si="36"/>
        <v>1210.1571381062756</v>
      </c>
      <c r="I281" s="3" t="str">
        <f t="shared" si="38"/>
        <v>Unpaid</v>
      </c>
      <c r="J281" s="6">
        <f t="shared" si="39"/>
        <v>244136.17839313796</v>
      </c>
    </row>
    <row r="282" spans="2:10">
      <c r="B282" s="3" cm="1">
        <f t="array" ref="B282">IF(ROW()-ROW($B$7)&lt;=duration,ROW()-ROW($B$7),"")</f>
        <v>275</v>
      </c>
      <c r="C282" s="4">
        <f t="shared" si="37"/>
        <v>53909</v>
      </c>
      <c r="D282" s="6">
        <f t="shared" si="32"/>
        <v>1086.6422206671584</v>
      </c>
      <c r="E282" s="6">
        <f t="shared" si="33"/>
        <v>66.634917439117174</v>
      </c>
      <c r="F282" s="5">
        <f t="shared" si="34"/>
        <v>1153.2771381062755</v>
      </c>
      <c r="G282" s="6">
        <f t="shared" si="35"/>
        <v>56.88</v>
      </c>
      <c r="H282" s="5">
        <f t="shared" si="36"/>
        <v>1210.1571381062756</v>
      </c>
      <c r="I282" s="3" t="str">
        <f t="shared" si="38"/>
        <v>Unpaid</v>
      </c>
      <c r="J282" s="6">
        <f t="shared" si="39"/>
        <v>244136.17839313796</v>
      </c>
    </row>
    <row r="283" spans="2:10">
      <c r="B283" s="3" cm="1">
        <f t="array" ref="B283">IF(ROW()-ROW($B$7)&lt;=duration,ROW()-ROW($B$7),"")</f>
        <v>276</v>
      </c>
      <c r="C283" s="4">
        <f t="shared" si="37"/>
        <v>53940</v>
      </c>
      <c r="D283" s="6">
        <f t="shared" si="32"/>
        <v>1089.132442422854</v>
      </c>
      <c r="E283" s="6">
        <f t="shared" si="33"/>
        <v>64.144695683421602</v>
      </c>
      <c r="F283" s="5">
        <f t="shared" si="34"/>
        <v>1153.2771381062755</v>
      </c>
      <c r="G283" s="6">
        <f t="shared" si="35"/>
        <v>56.88</v>
      </c>
      <c r="H283" s="5">
        <f t="shared" si="36"/>
        <v>1210.1571381062756</v>
      </c>
      <c r="I283" s="3" t="str">
        <f t="shared" si="38"/>
        <v>Unpaid</v>
      </c>
      <c r="J283" s="6">
        <f t="shared" si="39"/>
        <v>244136.17839313796</v>
      </c>
    </row>
    <row r="284" spans="2:10">
      <c r="B284" s="3" cm="1">
        <f t="array" ref="B284">IF(ROW()-ROW($B$7)&lt;=duration,ROW()-ROW($B$7),"")</f>
        <v>277</v>
      </c>
      <c r="C284" s="4">
        <f t="shared" si="37"/>
        <v>53970</v>
      </c>
      <c r="D284" s="6">
        <f t="shared" si="32"/>
        <v>1091.6283709367397</v>
      </c>
      <c r="E284" s="6">
        <f t="shared" si="33"/>
        <v>61.648767169535887</v>
      </c>
      <c r="F284" s="5">
        <f t="shared" si="34"/>
        <v>1153.2771381062755</v>
      </c>
      <c r="G284" s="6">
        <f t="shared" si="35"/>
        <v>56.88</v>
      </c>
      <c r="H284" s="5">
        <f t="shared" si="36"/>
        <v>1210.1571381062756</v>
      </c>
      <c r="I284" s="3" t="str">
        <f t="shared" si="38"/>
        <v>Unpaid</v>
      </c>
      <c r="J284" s="6">
        <f t="shared" si="39"/>
        <v>244136.17839313796</v>
      </c>
    </row>
    <row r="285" spans="2:10">
      <c r="B285" s="3" cm="1">
        <f t="array" ref="B285">IF(ROW()-ROW($B$7)&lt;=duration,ROW()-ROW($B$7),"")</f>
        <v>278</v>
      </c>
      <c r="C285" s="4">
        <f t="shared" si="37"/>
        <v>54001</v>
      </c>
      <c r="D285" s="6">
        <f t="shared" si="32"/>
        <v>1094.130019286803</v>
      </c>
      <c r="E285" s="6">
        <f t="shared" si="33"/>
        <v>59.147118819472524</v>
      </c>
      <c r="F285" s="5">
        <f t="shared" si="34"/>
        <v>1153.2771381062755</v>
      </c>
      <c r="G285" s="6">
        <f t="shared" si="35"/>
        <v>56.88</v>
      </c>
      <c r="H285" s="5">
        <f t="shared" si="36"/>
        <v>1210.1571381062756</v>
      </c>
      <c r="I285" s="3" t="str">
        <f t="shared" si="38"/>
        <v>Unpaid</v>
      </c>
      <c r="J285" s="6">
        <f t="shared" si="39"/>
        <v>244136.17839313796</v>
      </c>
    </row>
    <row r="286" spans="2:10">
      <c r="B286" s="3" cm="1">
        <f t="array" ref="B286">IF(ROW()-ROW($B$7)&lt;=duration,ROW()-ROW($B$7),"")</f>
        <v>279</v>
      </c>
      <c r="C286" s="4">
        <f t="shared" si="37"/>
        <v>54031</v>
      </c>
      <c r="D286" s="6">
        <f t="shared" si="32"/>
        <v>1096.6374005810019</v>
      </c>
      <c r="E286" s="6">
        <f t="shared" si="33"/>
        <v>56.63973752527361</v>
      </c>
      <c r="F286" s="5">
        <f t="shared" si="34"/>
        <v>1153.2771381062755</v>
      </c>
      <c r="G286" s="6">
        <f t="shared" si="35"/>
        <v>56.88</v>
      </c>
      <c r="H286" s="5">
        <f t="shared" si="36"/>
        <v>1210.1571381062756</v>
      </c>
      <c r="I286" s="3" t="str">
        <f t="shared" si="38"/>
        <v>Unpaid</v>
      </c>
      <c r="J286" s="6">
        <f t="shared" si="39"/>
        <v>244136.17839313796</v>
      </c>
    </row>
    <row r="287" spans="2:10">
      <c r="B287" s="3" cm="1">
        <f t="array" ref="B287">IF(ROW()-ROW($B$7)&lt;=duration,ROW()-ROW($B$7),"")</f>
        <v>280</v>
      </c>
      <c r="C287" s="4">
        <f t="shared" si="37"/>
        <v>54062</v>
      </c>
      <c r="D287" s="6">
        <f t="shared" si="32"/>
        <v>1099.1505279573335</v>
      </c>
      <c r="E287" s="6">
        <f t="shared" si="33"/>
        <v>54.126610148942142</v>
      </c>
      <c r="F287" s="5">
        <f t="shared" si="34"/>
        <v>1153.2771381062755</v>
      </c>
      <c r="G287" s="6">
        <f t="shared" si="35"/>
        <v>56.88</v>
      </c>
      <c r="H287" s="5">
        <f t="shared" si="36"/>
        <v>1210.1571381062756</v>
      </c>
      <c r="I287" s="3" t="str">
        <f t="shared" si="38"/>
        <v>Unpaid</v>
      </c>
      <c r="J287" s="6">
        <f t="shared" si="39"/>
        <v>244136.17839313796</v>
      </c>
    </row>
    <row r="288" spans="2:10">
      <c r="B288" s="3" cm="1">
        <f t="array" ref="B288">IF(ROW()-ROW($B$7)&lt;=duration,ROW()-ROW($B$7),"")</f>
        <v>281</v>
      </c>
      <c r="C288" s="4">
        <f t="shared" si="37"/>
        <v>54093</v>
      </c>
      <c r="D288" s="6">
        <f t="shared" si="32"/>
        <v>1101.6694145839022</v>
      </c>
      <c r="E288" s="6">
        <f t="shared" si="33"/>
        <v>51.607723522373256</v>
      </c>
      <c r="F288" s="5">
        <f t="shared" si="34"/>
        <v>1153.2771381062755</v>
      </c>
      <c r="G288" s="6">
        <f t="shared" si="35"/>
        <v>56.88</v>
      </c>
      <c r="H288" s="5">
        <f t="shared" si="36"/>
        <v>1210.1571381062756</v>
      </c>
      <c r="I288" s="3" t="str">
        <f t="shared" si="38"/>
        <v>Unpaid</v>
      </c>
      <c r="J288" s="6">
        <f t="shared" si="39"/>
        <v>244136.17839313796</v>
      </c>
    </row>
    <row r="289" spans="2:10">
      <c r="B289" s="3" cm="1">
        <f t="array" ref="B289">IF(ROW()-ROW($B$7)&lt;=duration,ROW()-ROW($B$7),"")</f>
        <v>282</v>
      </c>
      <c r="C289" s="4">
        <f t="shared" si="37"/>
        <v>54122</v>
      </c>
      <c r="D289" s="6">
        <f t="shared" si="32"/>
        <v>1104.1940736589904</v>
      </c>
      <c r="E289" s="6">
        <f t="shared" si="33"/>
        <v>49.083064447285139</v>
      </c>
      <c r="F289" s="5">
        <f t="shared" si="34"/>
        <v>1153.2771381062755</v>
      </c>
      <c r="G289" s="6">
        <f t="shared" si="35"/>
        <v>56.88</v>
      </c>
      <c r="H289" s="5">
        <f t="shared" si="36"/>
        <v>1210.1571381062756</v>
      </c>
      <c r="I289" s="3" t="str">
        <f t="shared" si="38"/>
        <v>Unpaid</v>
      </c>
      <c r="J289" s="6">
        <f t="shared" si="39"/>
        <v>244136.17839313796</v>
      </c>
    </row>
    <row r="290" spans="2:10">
      <c r="B290" s="3" cm="1">
        <f t="array" ref="B290">IF(ROW()-ROW($B$7)&lt;=duration,ROW()-ROW($B$7),"")</f>
        <v>283</v>
      </c>
      <c r="C290" s="4">
        <f t="shared" si="37"/>
        <v>54153</v>
      </c>
      <c r="D290" s="6">
        <f t="shared" si="32"/>
        <v>1106.7245184111255</v>
      </c>
      <c r="E290" s="6">
        <f t="shared" si="33"/>
        <v>46.552619695149964</v>
      </c>
      <c r="F290" s="5">
        <f t="shared" si="34"/>
        <v>1153.2771381062755</v>
      </c>
      <c r="G290" s="6">
        <f t="shared" si="35"/>
        <v>56.88</v>
      </c>
      <c r="H290" s="5">
        <f t="shared" si="36"/>
        <v>1210.1571381062756</v>
      </c>
      <c r="I290" s="3" t="str">
        <f t="shared" si="38"/>
        <v>Unpaid</v>
      </c>
      <c r="J290" s="6">
        <f t="shared" si="39"/>
        <v>244136.17839313796</v>
      </c>
    </row>
    <row r="291" spans="2:10">
      <c r="B291" s="3" cm="1">
        <f t="array" ref="B291">IF(ROW()-ROW($B$7)&lt;=duration,ROW()-ROW($B$7),"")</f>
        <v>284</v>
      </c>
      <c r="C291" s="4">
        <f t="shared" si="37"/>
        <v>54183</v>
      </c>
      <c r="D291" s="6">
        <f t="shared" si="32"/>
        <v>1109.260762099151</v>
      </c>
      <c r="E291" s="6">
        <f t="shared" si="33"/>
        <v>44.016376007124457</v>
      </c>
      <c r="F291" s="5">
        <f t="shared" si="34"/>
        <v>1153.2771381062755</v>
      </c>
      <c r="G291" s="6">
        <f t="shared" si="35"/>
        <v>56.88</v>
      </c>
      <c r="H291" s="5">
        <f t="shared" si="36"/>
        <v>1210.1571381062756</v>
      </c>
      <c r="I291" s="3" t="str">
        <f t="shared" si="38"/>
        <v>Unpaid</v>
      </c>
      <c r="J291" s="6">
        <f t="shared" si="39"/>
        <v>244136.17839313796</v>
      </c>
    </row>
    <row r="292" spans="2:10">
      <c r="B292" s="3" cm="1">
        <f t="array" ref="B292">IF(ROW()-ROW($B$7)&lt;=duration,ROW()-ROW($B$7),"")</f>
        <v>285</v>
      </c>
      <c r="C292" s="4">
        <f t="shared" si="37"/>
        <v>54214</v>
      </c>
      <c r="D292" s="6">
        <f t="shared" si="32"/>
        <v>1111.8028180122949</v>
      </c>
      <c r="E292" s="6">
        <f t="shared" si="33"/>
        <v>41.47432009398058</v>
      </c>
      <c r="F292" s="5">
        <f t="shared" si="34"/>
        <v>1153.2771381062755</v>
      </c>
      <c r="G292" s="6">
        <f t="shared" si="35"/>
        <v>56.88</v>
      </c>
      <c r="H292" s="5">
        <f t="shared" si="36"/>
        <v>1210.1571381062756</v>
      </c>
      <c r="I292" s="3" t="str">
        <f t="shared" si="38"/>
        <v>Unpaid</v>
      </c>
      <c r="J292" s="6">
        <f t="shared" si="39"/>
        <v>244136.17839313796</v>
      </c>
    </row>
    <row r="293" spans="2:10">
      <c r="B293" s="3" cm="1">
        <f t="array" ref="B293">IF(ROW()-ROW($B$7)&lt;=duration,ROW()-ROW($B$7),"")</f>
        <v>286</v>
      </c>
      <c r="C293" s="4">
        <f t="shared" si="37"/>
        <v>54244</v>
      </c>
      <c r="D293" s="6">
        <f t="shared" si="32"/>
        <v>1114.3506994702398</v>
      </c>
      <c r="E293" s="6">
        <f t="shared" si="33"/>
        <v>38.926438636035734</v>
      </c>
      <c r="F293" s="5">
        <f t="shared" si="34"/>
        <v>1153.2771381062755</v>
      </c>
      <c r="G293" s="6">
        <f t="shared" si="35"/>
        <v>56.88</v>
      </c>
      <c r="H293" s="5">
        <f t="shared" si="36"/>
        <v>1210.1571381062756</v>
      </c>
      <c r="I293" s="3" t="str">
        <f t="shared" si="38"/>
        <v>Unpaid</v>
      </c>
      <c r="J293" s="6">
        <f t="shared" si="39"/>
        <v>244136.17839313796</v>
      </c>
    </row>
    <row r="294" spans="2:10">
      <c r="B294" s="3" cm="1">
        <f t="array" ref="B294">IF(ROW()-ROW($B$7)&lt;=duration,ROW()-ROW($B$7),"")</f>
        <v>287</v>
      </c>
      <c r="C294" s="4">
        <f t="shared" si="37"/>
        <v>54275</v>
      </c>
      <c r="D294" s="6">
        <f t="shared" si="32"/>
        <v>1116.9044198231925</v>
      </c>
      <c r="E294" s="6">
        <f t="shared" si="33"/>
        <v>36.372718283083103</v>
      </c>
      <c r="F294" s="5">
        <f t="shared" si="34"/>
        <v>1153.2771381062755</v>
      </c>
      <c r="G294" s="6">
        <f t="shared" si="35"/>
        <v>56.88</v>
      </c>
      <c r="H294" s="5">
        <f t="shared" si="36"/>
        <v>1210.1571381062756</v>
      </c>
      <c r="I294" s="3" t="str">
        <f t="shared" si="38"/>
        <v>Unpaid</v>
      </c>
      <c r="J294" s="6">
        <f t="shared" si="39"/>
        <v>244136.17839313796</v>
      </c>
    </row>
    <row r="295" spans="2:10">
      <c r="B295" s="3" cm="1">
        <f t="array" ref="B295">IF(ROW()-ROW($B$7)&lt;=duration,ROW()-ROW($B$7),"")</f>
        <v>288</v>
      </c>
      <c r="C295" s="4">
        <f t="shared" si="37"/>
        <v>54306</v>
      </c>
      <c r="D295" s="6">
        <f t="shared" si="32"/>
        <v>1119.4639924519538</v>
      </c>
      <c r="E295" s="6">
        <f t="shared" si="33"/>
        <v>33.813145654321616</v>
      </c>
      <c r="F295" s="5">
        <f t="shared" si="34"/>
        <v>1153.2771381062755</v>
      </c>
      <c r="G295" s="6">
        <f t="shared" si="35"/>
        <v>56.88</v>
      </c>
      <c r="H295" s="5">
        <f t="shared" si="36"/>
        <v>1210.1571381062756</v>
      </c>
      <c r="I295" s="3" t="str">
        <f t="shared" si="38"/>
        <v>Unpaid</v>
      </c>
      <c r="J295" s="6">
        <f t="shared" si="39"/>
        <v>244136.17839313796</v>
      </c>
    </row>
    <row r="296" spans="2:10">
      <c r="B296" s="3" cm="1">
        <f t="array" ref="B296">IF(ROW()-ROW($B$7)&lt;=duration,ROW()-ROW($B$7),"")</f>
        <v>289</v>
      </c>
      <c r="C296" s="4">
        <f t="shared" si="37"/>
        <v>54336</v>
      </c>
      <c r="D296" s="6">
        <f t="shared" si="32"/>
        <v>1122.0294307679897</v>
      </c>
      <c r="E296" s="6">
        <f t="shared" si="33"/>
        <v>31.247707338285892</v>
      </c>
      <c r="F296" s="5">
        <f t="shared" si="34"/>
        <v>1153.2771381062755</v>
      </c>
      <c r="G296" s="6">
        <f t="shared" si="35"/>
        <v>56.88</v>
      </c>
      <c r="H296" s="5">
        <f t="shared" si="36"/>
        <v>1210.1571381062756</v>
      </c>
      <c r="I296" s="3" t="str">
        <f t="shared" si="38"/>
        <v>Unpaid</v>
      </c>
      <c r="J296" s="6">
        <f t="shared" si="39"/>
        <v>244136.17839313796</v>
      </c>
    </row>
    <row r="297" spans="2:10">
      <c r="B297" s="3" cm="1">
        <f t="array" ref="B297">IF(ROW()-ROW($B$7)&lt;=duration,ROW()-ROW($B$7),"")</f>
        <v>290</v>
      </c>
      <c r="C297" s="4">
        <f t="shared" si="37"/>
        <v>54367</v>
      </c>
      <c r="D297" s="6">
        <f t="shared" si="32"/>
        <v>1124.6007482134996</v>
      </c>
      <c r="E297" s="6">
        <f t="shared" si="33"/>
        <v>28.676389892775916</v>
      </c>
      <c r="F297" s="5">
        <f t="shared" si="34"/>
        <v>1153.2771381062755</v>
      </c>
      <c r="G297" s="6">
        <f t="shared" si="35"/>
        <v>56.88</v>
      </c>
      <c r="H297" s="5">
        <f t="shared" si="36"/>
        <v>1210.1571381062756</v>
      </c>
      <c r="I297" s="3" t="str">
        <f t="shared" si="38"/>
        <v>Unpaid</v>
      </c>
      <c r="J297" s="6">
        <f t="shared" si="39"/>
        <v>244136.17839313796</v>
      </c>
    </row>
    <row r="298" spans="2:10">
      <c r="B298" s="3" cm="1">
        <f t="array" ref="B298">IF(ROW()-ROW($B$7)&lt;=duration,ROW()-ROW($B$7),"")</f>
        <v>291</v>
      </c>
      <c r="C298" s="4">
        <f t="shared" si="37"/>
        <v>54397</v>
      </c>
      <c r="D298" s="6">
        <f t="shared" si="32"/>
        <v>1127.1779582614888</v>
      </c>
      <c r="E298" s="6">
        <f t="shared" si="33"/>
        <v>26.099179844786647</v>
      </c>
      <c r="F298" s="5">
        <f t="shared" si="34"/>
        <v>1153.2771381062755</v>
      </c>
      <c r="G298" s="6">
        <f t="shared" si="35"/>
        <v>56.88</v>
      </c>
      <c r="H298" s="5">
        <f t="shared" si="36"/>
        <v>1210.1571381062756</v>
      </c>
      <c r="I298" s="3" t="str">
        <f t="shared" si="38"/>
        <v>Unpaid</v>
      </c>
      <c r="J298" s="6">
        <f t="shared" si="39"/>
        <v>244136.17839313796</v>
      </c>
    </row>
    <row r="299" spans="2:10">
      <c r="B299" s="3" cm="1">
        <f t="array" ref="B299">IF(ROW()-ROW($B$7)&lt;=duration,ROW()-ROW($B$7),"")</f>
        <v>292</v>
      </c>
      <c r="C299" s="4">
        <f t="shared" si="37"/>
        <v>54428</v>
      </c>
      <c r="D299" s="6">
        <f t="shared" si="32"/>
        <v>1129.761074415838</v>
      </c>
      <c r="E299" s="6">
        <f t="shared" si="33"/>
        <v>23.516063690437402</v>
      </c>
      <c r="F299" s="5">
        <f t="shared" si="34"/>
        <v>1153.2771381062755</v>
      </c>
      <c r="G299" s="6">
        <f t="shared" si="35"/>
        <v>56.88</v>
      </c>
      <c r="H299" s="5">
        <f t="shared" si="36"/>
        <v>1210.1571381062756</v>
      </c>
      <c r="I299" s="3" t="str">
        <f t="shared" si="38"/>
        <v>Unpaid</v>
      </c>
      <c r="J299" s="6">
        <f t="shared" si="39"/>
        <v>244136.17839313796</v>
      </c>
    </row>
    <row r="300" spans="2:10">
      <c r="B300" s="3" cm="1">
        <f t="array" ref="B300">IF(ROW()-ROW($B$7)&lt;=duration,ROW()-ROW($B$7),"")</f>
        <v>293</v>
      </c>
      <c r="C300" s="4">
        <f t="shared" si="37"/>
        <v>54459</v>
      </c>
      <c r="D300" s="6">
        <f t="shared" si="32"/>
        <v>1132.3501102113744</v>
      </c>
      <c r="E300" s="6">
        <f t="shared" si="33"/>
        <v>20.927027894901109</v>
      </c>
      <c r="F300" s="5">
        <f t="shared" si="34"/>
        <v>1153.2771381062755</v>
      </c>
      <c r="G300" s="6">
        <f t="shared" si="35"/>
        <v>56.88</v>
      </c>
      <c r="H300" s="5">
        <f t="shared" si="36"/>
        <v>1210.1571381062756</v>
      </c>
      <c r="I300" s="3" t="str">
        <f t="shared" si="38"/>
        <v>Unpaid</v>
      </c>
      <c r="J300" s="6">
        <f t="shared" si="39"/>
        <v>244136.17839313796</v>
      </c>
    </row>
    <row r="301" spans="2:10">
      <c r="B301" s="3" cm="1">
        <f t="array" ref="B301">IF(ROW()-ROW($B$7)&lt;=duration,ROW()-ROW($B$7),"")</f>
        <v>294</v>
      </c>
      <c r="C301" s="4">
        <f t="shared" si="37"/>
        <v>54487</v>
      </c>
      <c r="D301" s="6">
        <f t="shared" si="32"/>
        <v>1134.9450792139421</v>
      </c>
      <c r="E301" s="6">
        <f t="shared" si="33"/>
        <v>18.332058892333372</v>
      </c>
      <c r="F301" s="5">
        <f t="shared" si="34"/>
        <v>1153.2771381062755</v>
      </c>
      <c r="G301" s="6">
        <f t="shared" si="35"/>
        <v>56.88</v>
      </c>
      <c r="H301" s="5">
        <f t="shared" si="36"/>
        <v>1210.1571381062756</v>
      </c>
      <c r="I301" s="3" t="str">
        <f t="shared" si="38"/>
        <v>Unpaid</v>
      </c>
      <c r="J301" s="6">
        <f t="shared" si="39"/>
        <v>244136.17839313796</v>
      </c>
    </row>
    <row r="302" spans="2:10">
      <c r="B302" s="3" cm="1">
        <f t="array" ref="B302">IF(ROW()-ROW($B$7)&lt;=duration,ROW()-ROW($B$7),"")</f>
        <v>295</v>
      </c>
      <c r="C302" s="4">
        <f t="shared" si="37"/>
        <v>54518</v>
      </c>
      <c r="D302" s="6">
        <f t="shared" si="32"/>
        <v>1137.545995020474</v>
      </c>
      <c r="E302" s="6">
        <f t="shared" si="33"/>
        <v>15.731143085801422</v>
      </c>
      <c r="F302" s="5">
        <f t="shared" si="34"/>
        <v>1153.2771381062755</v>
      </c>
      <c r="G302" s="6">
        <f t="shared" si="35"/>
        <v>56.88</v>
      </c>
      <c r="H302" s="5">
        <f t="shared" si="36"/>
        <v>1210.1571381062756</v>
      </c>
      <c r="I302" s="3" t="str">
        <f t="shared" si="38"/>
        <v>Unpaid</v>
      </c>
      <c r="J302" s="6">
        <f t="shared" si="39"/>
        <v>244136.17839313796</v>
      </c>
    </row>
    <row r="303" spans="2:10">
      <c r="B303" s="3" cm="1">
        <f t="array" ref="B303">IF(ROW()-ROW($B$7)&lt;=duration,ROW()-ROW($B$7),"")</f>
        <v>296</v>
      </c>
      <c r="C303" s="4">
        <f t="shared" si="37"/>
        <v>54548</v>
      </c>
      <c r="D303" s="6">
        <f t="shared" si="32"/>
        <v>1140.1528712590627</v>
      </c>
      <c r="E303" s="6">
        <f t="shared" si="33"/>
        <v>13.124266847212835</v>
      </c>
      <c r="F303" s="5">
        <f t="shared" si="34"/>
        <v>1153.2771381062755</v>
      </c>
      <c r="G303" s="6">
        <f t="shared" si="35"/>
        <v>56.88</v>
      </c>
      <c r="H303" s="5">
        <f t="shared" si="36"/>
        <v>1210.1571381062756</v>
      </c>
      <c r="I303" s="3" t="str">
        <f t="shared" si="38"/>
        <v>Unpaid</v>
      </c>
      <c r="J303" s="6">
        <f t="shared" si="39"/>
        <v>244136.17839313796</v>
      </c>
    </row>
    <row r="304" spans="2:10">
      <c r="B304" s="3" cm="1">
        <f t="array" ref="B304">IF(ROW()-ROW($B$7)&lt;=duration,ROW()-ROW($B$7),"")</f>
        <v>297</v>
      </c>
      <c r="C304" s="4">
        <f t="shared" si="37"/>
        <v>54579</v>
      </c>
      <c r="D304" s="6">
        <f t="shared" si="32"/>
        <v>1142.7657215890313</v>
      </c>
      <c r="E304" s="6">
        <f t="shared" si="33"/>
        <v>10.51141651724415</v>
      </c>
      <c r="F304" s="5">
        <f t="shared" si="34"/>
        <v>1153.2771381062755</v>
      </c>
      <c r="G304" s="6">
        <f t="shared" si="35"/>
        <v>56.88</v>
      </c>
      <c r="H304" s="5">
        <f t="shared" si="36"/>
        <v>1210.1571381062756</v>
      </c>
      <c r="I304" s="3" t="str">
        <f t="shared" si="38"/>
        <v>Unpaid</v>
      </c>
      <c r="J304" s="6">
        <f t="shared" si="39"/>
        <v>244136.17839313796</v>
      </c>
    </row>
    <row r="305" spans="2:10">
      <c r="B305" s="3" cm="1">
        <f t="array" ref="B305">IF(ROW()-ROW($B$7)&lt;=duration,ROW()-ROW($B$7),"")</f>
        <v>298</v>
      </c>
      <c r="C305" s="4">
        <f t="shared" si="37"/>
        <v>54609</v>
      </c>
      <c r="D305" s="6">
        <f t="shared" si="32"/>
        <v>1145.3845597010063</v>
      </c>
      <c r="E305" s="6">
        <f t="shared" si="33"/>
        <v>7.8925784052692869</v>
      </c>
      <c r="F305" s="5">
        <f t="shared" si="34"/>
        <v>1153.2771381062755</v>
      </c>
      <c r="G305" s="6">
        <f t="shared" si="35"/>
        <v>56.88</v>
      </c>
      <c r="H305" s="5">
        <f t="shared" si="36"/>
        <v>1210.1571381062756</v>
      </c>
      <c r="I305" s="3" t="str">
        <f t="shared" si="38"/>
        <v>Unpaid</v>
      </c>
      <c r="J305" s="6">
        <f t="shared" si="39"/>
        <v>244136.17839313796</v>
      </c>
    </row>
    <row r="306" spans="2:10">
      <c r="B306" s="3" cm="1">
        <f t="array" ref="B306">IF(ROW()-ROW($B$7)&lt;=duration,ROW()-ROW($B$7),"")</f>
        <v>299</v>
      </c>
      <c r="C306" s="4">
        <f t="shared" si="37"/>
        <v>54640</v>
      </c>
      <c r="D306" s="6">
        <f t="shared" si="32"/>
        <v>1148.0093993169878</v>
      </c>
      <c r="E306" s="6">
        <f t="shared" si="33"/>
        <v>5.2677387892878142</v>
      </c>
      <c r="F306" s="5">
        <f t="shared" si="34"/>
        <v>1153.2771381062755</v>
      </c>
      <c r="G306" s="6">
        <f t="shared" si="35"/>
        <v>56.88</v>
      </c>
      <c r="H306" s="5">
        <f t="shared" si="36"/>
        <v>1210.1571381062756</v>
      </c>
      <c r="I306" s="3" t="str">
        <f t="shared" si="38"/>
        <v>Unpaid</v>
      </c>
      <c r="J306" s="6">
        <f t="shared" si="39"/>
        <v>244136.17839313796</v>
      </c>
    </row>
    <row r="307" spans="2:10">
      <c r="B307" s="3" cm="1">
        <f t="array" ref="B307">IF(ROW()-ROW($B$7)&lt;=duration,ROW()-ROW($B$7),"")</f>
        <v>300</v>
      </c>
      <c r="C307" s="4">
        <f t="shared" si="37"/>
        <v>54671</v>
      </c>
      <c r="D307" s="6">
        <f t="shared" si="32"/>
        <v>1150.6402541904224</v>
      </c>
      <c r="E307" s="6">
        <f t="shared" si="33"/>
        <v>2.6368839158530508</v>
      </c>
      <c r="F307" s="5">
        <f t="shared" si="34"/>
        <v>1153.2771381062755</v>
      </c>
      <c r="G307" s="6">
        <f t="shared" si="35"/>
        <v>56.88</v>
      </c>
      <c r="H307" s="5">
        <f t="shared" si="36"/>
        <v>1210.1571381062756</v>
      </c>
      <c r="I307" s="3" t="str">
        <f t="shared" si="38"/>
        <v>Unpaid</v>
      </c>
      <c r="J307" s="6">
        <f t="shared" si="39"/>
        <v>244136.17839313796</v>
      </c>
    </row>
    <row r="308" spans="2:10">
      <c r="B308" s="3"/>
      <c r="C308" s="4"/>
      <c r="D308" s="5"/>
      <c r="E308" s="6"/>
      <c r="F308" s="6"/>
      <c r="G308" s="6"/>
      <c r="H308" s="5"/>
      <c r="I308" s="3"/>
      <c r="J308" s="6"/>
    </row>
    <row r="309" spans="2:10">
      <c r="B309" s="3"/>
      <c r="C309" s="4"/>
      <c r="D309" s="5"/>
      <c r="E309" s="6"/>
      <c r="F309" s="6"/>
      <c r="G309" s="6"/>
      <c r="H309" s="5"/>
      <c r="I309" s="3"/>
      <c r="J309" s="6"/>
    </row>
    <row r="310" spans="2:10">
      <c r="B310" s="3"/>
      <c r="C310" s="4"/>
      <c r="D310" s="5"/>
      <c r="E310" s="6"/>
      <c r="F310" s="6"/>
      <c r="G310" s="6"/>
      <c r="H310" s="5"/>
      <c r="I310" s="3"/>
      <c r="J310" s="6"/>
    </row>
    <row r="311" spans="2:10">
      <c r="B311" s="3"/>
      <c r="C311" s="4"/>
      <c r="D311" s="5"/>
      <c r="E311" s="6"/>
      <c r="F311" s="6"/>
      <c r="G311" s="6"/>
      <c r="H311" s="5"/>
      <c r="I311" s="3"/>
      <c r="J311" s="6"/>
    </row>
    <row r="312" spans="2:10">
      <c r="B312" s="3"/>
      <c r="C312" s="4"/>
      <c r="D312" s="5"/>
      <c r="E312" s="6"/>
      <c r="F312" s="6"/>
      <c r="G312" s="6"/>
      <c r="H312" s="5"/>
      <c r="I312" s="3"/>
      <c r="J312" s="6"/>
    </row>
    <row r="313" spans="2:10">
      <c r="B313" s="3"/>
      <c r="C313" s="4"/>
      <c r="D313" s="5"/>
      <c r="E313" s="6"/>
      <c r="F313" s="6"/>
      <c r="G313" s="6"/>
      <c r="H313" s="5"/>
      <c r="I313" s="3"/>
      <c r="J313" s="6"/>
    </row>
    <row r="314" spans="2:10">
      <c r="B314" s="3"/>
      <c r="C314" s="4"/>
      <c r="D314" s="5"/>
      <c r="E314" s="6"/>
      <c r="F314" s="6"/>
      <c r="G314" s="6"/>
      <c r="H314" s="5"/>
      <c r="I314" s="3"/>
      <c r="J314" s="6"/>
    </row>
    <row r="315" spans="2:10">
      <c r="B315" s="3"/>
      <c r="C315" s="4"/>
      <c r="D315" s="5"/>
      <c r="E315" s="6"/>
      <c r="F315" s="6"/>
      <c r="G315" s="6"/>
      <c r="H315" s="5"/>
      <c r="I315" s="3"/>
      <c r="J315" s="6"/>
    </row>
    <row r="316" spans="2:10">
      <c r="B316" s="3"/>
      <c r="C316" s="4"/>
      <c r="D316" s="5"/>
      <c r="E316" s="6"/>
      <c r="F316" s="6"/>
      <c r="G316" s="6"/>
      <c r="H316" s="5"/>
      <c r="I316" s="3"/>
      <c r="J316" s="6"/>
    </row>
    <row r="317" spans="2:10">
      <c r="B317" s="3"/>
      <c r="C317" s="4"/>
      <c r="D317" s="5"/>
      <c r="E317" s="6"/>
      <c r="F317" s="6"/>
      <c r="G317" s="6"/>
      <c r="H317" s="5"/>
      <c r="I317" s="3"/>
      <c r="J317" s="6"/>
    </row>
    <row r="318" spans="2:10">
      <c r="B318" s="3"/>
      <c r="C318" s="4"/>
      <c r="D318" s="5"/>
      <c r="E318" s="6"/>
      <c r="F318" s="6"/>
      <c r="G318" s="6"/>
      <c r="H318" s="5"/>
      <c r="I318" s="3"/>
      <c r="J318" s="6"/>
    </row>
    <row r="319" spans="2:10">
      <c r="B319" s="3"/>
      <c r="C319" s="4"/>
      <c r="D319" s="5"/>
      <c r="E319" s="6"/>
      <c r="F319" s="6"/>
      <c r="G319" s="6"/>
      <c r="H319" s="5"/>
      <c r="I319" s="3"/>
      <c r="J319" s="6"/>
    </row>
    <row r="320" spans="2:10">
      <c r="B320" s="3"/>
      <c r="C320" s="4"/>
      <c r="D320" s="5"/>
      <c r="E320" s="6"/>
      <c r="F320" s="6"/>
      <c r="G320" s="6"/>
      <c r="H320" s="5"/>
      <c r="I320" s="3"/>
      <c r="J320" s="6"/>
    </row>
    <row r="321" spans="2:10">
      <c r="B321" s="3"/>
      <c r="C321" s="4"/>
      <c r="D321" s="5"/>
      <c r="E321" s="6"/>
      <c r="F321" s="6"/>
      <c r="G321" s="6"/>
      <c r="H321" s="5"/>
      <c r="I321" s="3"/>
      <c r="J321" s="6"/>
    </row>
    <row r="322" spans="2:10">
      <c r="B322" s="3"/>
      <c r="C322" s="4"/>
      <c r="D322" s="5"/>
      <c r="E322" s="6"/>
      <c r="F322" s="6"/>
      <c r="G322" s="6"/>
      <c r="H322" s="5"/>
      <c r="I322" s="3"/>
      <c r="J322" s="6"/>
    </row>
    <row r="323" spans="2:10">
      <c r="B323" s="3"/>
      <c r="C323" s="4"/>
      <c r="D323" s="5"/>
      <c r="E323" s="6"/>
      <c r="F323" s="6"/>
      <c r="G323" s="6"/>
      <c r="H323" s="5"/>
      <c r="I323" s="3"/>
      <c r="J323" s="6"/>
    </row>
    <row r="324" spans="2:10">
      <c r="B324" s="3"/>
      <c r="C324" s="4"/>
      <c r="D324" s="5"/>
      <c r="E324" s="6"/>
      <c r="F324" s="6"/>
      <c r="G324" s="6"/>
      <c r="H324" s="5"/>
      <c r="I324" s="3"/>
      <c r="J324" s="6"/>
    </row>
    <row r="325" spans="2:10">
      <c r="B325" s="3"/>
      <c r="C325" s="4"/>
      <c r="D325" s="5"/>
      <c r="E325" s="6"/>
      <c r="F325" s="6"/>
      <c r="G325" s="6"/>
      <c r="H325" s="5"/>
      <c r="I325" s="3"/>
      <c r="J325" s="6"/>
    </row>
    <row r="326" spans="2:10">
      <c r="B326" s="3"/>
      <c r="C326" s="4"/>
      <c r="D326" s="5"/>
      <c r="E326" s="6"/>
      <c r="F326" s="6"/>
      <c r="G326" s="6"/>
      <c r="H326" s="5"/>
      <c r="I326" s="3"/>
      <c r="J326" s="6"/>
    </row>
    <row r="327" spans="2:10">
      <c r="B327" s="3"/>
      <c r="C327" s="4"/>
      <c r="D327" s="5"/>
      <c r="E327" s="6"/>
      <c r="F327" s="6"/>
      <c r="G327" s="6"/>
      <c r="H327" s="5"/>
      <c r="I327" s="3"/>
      <c r="J327" s="6"/>
    </row>
    <row r="328" spans="2:10">
      <c r="B328" s="3"/>
      <c r="C328" s="4"/>
      <c r="D328" s="5"/>
      <c r="E328" s="6"/>
      <c r="F328" s="6"/>
      <c r="G328" s="6"/>
      <c r="H328" s="5"/>
      <c r="I328" s="3"/>
      <c r="J328" s="6"/>
    </row>
    <row r="329" spans="2:10">
      <c r="B329" s="3"/>
      <c r="C329" s="4"/>
      <c r="D329" s="5"/>
      <c r="E329" s="6"/>
      <c r="F329" s="6"/>
      <c r="G329" s="6"/>
      <c r="H329" s="5"/>
      <c r="I329" s="3"/>
      <c r="J329" s="6"/>
    </row>
    <row r="330" spans="2:10">
      <c r="B330" s="3"/>
      <c r="C330" s="4"/>
      <c r="D330" s="5"/>
      <c r="E330" s="6"/>
      <c r="F330" s="6"/>
      <c r="G330" s="6"/>
      <c r="H330" s="5"/>
      <c r="I330" s="3"/>
      <c r="J330" s="6"/>
    </row>
    <row r="331" spans="2:10">
      <c r="B331" s="3"/>
      <c r="C331" s="4"/>
      <c r="D331" s="5"/>
      <c r="E331" s="6"/>
      <c r="F331" s="6"/>
      <c r="G331" s="6"/>
      <c r="H331" s="5"/>
      <c r="I331" s="3"/>
      <c r="J331" s="6"/>
    </row>
    <row r="332" spans="2:10">
      <c r="B332" s="3"/>
      <c r="C332" s="4"/>
      <c r="D332" s="5"/>
      <c r="E332" s="6"/>
      <c r="F332" s="6"/>
      <c r="G332" s="6"/>
      <c r="H332" s="5"/>
      <c r="I332" s="3"/>
      <c r="J332" s="6"/>
    </row>
    <row r="333" spans="2:10">
      <c r="B333" s="3"/>
      <c r="C333" s="4"/>
      <c r="D333" s="5"/>
      <c r="E333" s="6"/>
      <c r="F333" s="6"/>
      <c r="G333" s="6"/>
      <c r="H333" s="5"/>
      <c r="I333" s="3"/>
      <c r="J333" s="6"/>
    </row>
    <row r="334" spans="2:10">
      <c r="B334" s="3"/>
      <c r="C334" s="4"/>
      <c r="D334" s="5"/>
      <c r="E334" s="6"/>
      <c r="F334" s="6"/>
      <c r="G334" s="6"/>
      <c r="H334" s="5"/>
      <c r="I334" s="3"/>
      <c r="J334" s="6"/>
    </row>
    <row r="335" spans="2:10">
      <c r="B335" s="3"/>
      <c r="C335" s="4"/>
      <c r="D335" s="5"/>
      <c r="E335" s="6"/>
      <c r="F335" s="6"/>
      <c r="G335" s="6"/>
      <c r="H335" s="5"/>
      <c r="I335" s="3"/>
      <c r="J335" s="6"/>
    </row>
    <row r="336" spans="2:10">
      <c r="B336" s="3"/>
      <c r="C336" s="4"/>
      <c r="D336" s="5"/>
      <c r="E336" s="6"/>
      <c r="F336" s="6"/>
      <c r="G336" s="6"/>
      <c r="H336" s="5"/>
      <c r="I336" s="3"/>
      <c r="J336" s="6"/>
    </row>
    <row r="337" spans="2:10">
      <c r="B337" s="3"/>
      <c r="C337" s="4"/>
      <c r="D337" s="5"/>
      <c r="E337" s="6"/>
      <c r="F337" s="6"/>
      <c r="G337" s="6"/>
      <c r="H337" s="5"/>
      <c r="I337" s="3"/>
      <c r="J337" s="6"/>
    </row>
    <row r="338" spans="2:10">
      <c r="B338" s="3"/>
      <c r="C338" s="4"/>
      <c r="D338" s="5"/>
      <c r="E338" s="6"/>
      <c r="F338" s="6"/>
      <c r="G338" s="6"/>
      <c r="H338" s="5"/>
      <c r="I338" s="3"/>
      <c r="J338" s="6"/>
    </row>
    <row r="339" spans="2:10">
      <c r="B339" s="3"/>
      <c r="C339" s="4"/>
      <c r="D339" s="5"/>
      <c r="E339" s="6"/>
      <c r="F339" s="6"/>
      <c r="G339" s="6"/>
      <c r="H339" s="5"/>
      <c r="I339" s="3"/>
      <c r="J339" s="6"/>
    </row>
    <row r="340" spans="2:10">
      <c r="B340" s="3"/>
      <c r="C340" s="4"/>
      <c r="D340" s="5"/>
      <c r="E340" s="6"/>
      <c r="F340" s="6"/>
      <c r="G340" s="6"/>
      <c r="H340" s="5"/>
      <c r="I340" s="3"/>
      <c r="J340" s="6"/>
    </row>
    <row r="341" spans="2:10">
      <c r="B341" s="3"/>
      <c r="C341" s="4"/>
      <c r="D341" s="5"/>
      <c r="E341" s="6"/>
      <c r="F341" s="6"/>
      <c r="G341" s="6"/>
      <c r="H341" s="5"/>
      <c r="I341" s="3"/>
      <c r="J341" s="6"/>
    </row>
    <row r="342" spans="2:10">
      <c r="B342" s="3"/>
      <c r="C342" s="4"/>
      <c r="D342" s="5"/>
      <c r="E342" s="6"/>
      <c r="F342" s="6"/>
      <c r="G342" s="6"/>
      <c r="H342" s="5"/>
      <c r="I342" s="3"/>
      <c r="J342" s="6"/>
    </row>
    <row r="343" spans="2:10">
      <c r="B343" s="3"/>
      <c r="C343" s="4"/>
      <c r="D343" s="5"/>
      <c r="E343" s="6"/>
      <c r="F343" s="6"/>
      <c r="G343" s="6"/>
      <c r="H343" s="5"/>
      <c r="I343" s="3"/>
      <c r="J343" s="6"/>
    </row>
    <row r="344" spans="2:10">
      <c r="B344" s="3"/>
      <c r="C344" s="4"/>
      <c r="D344" s="5"/>
      <c r="E344" s="6"/>
      <c r="F344" s="6"/>
      <c r="G344" s="6"/>
      <c r="H344" s="5"/>
      <c r="I344" s="3"/>
      <c r="J344" s="6"/>
    </row>
    <row r="345" spans="2:10">
      <c r="B345" s="3"/>
      <c r="C345" s="4"/>
      <c r="D345" s="5"/>
      <c r="E345" s="6"/>
      <c r="F345" s="6"/>
      <c r="G345" s="6"/>
      <c r="H345" s="5"/>
      <c r="I345" s="3"/>
      <c r="J345" s="6"/>
    </row>
    <row r="346" spans="2:10">
      <c r="B346" s="3"/>
      <c r="C346" s="4"/>
      <c r="D346" s="5"/>
      <c r="E346" s="6"/>
      <c r="F346" s="6"/>
      <c r="G346" s="6"/>
      <c r="H346" s="5"/>
      <c r="I346" s="3"/>
      <c r="J346" s="6"/>
    </row>
    <row r="347" spans="2:10">
      <c r="B347" s="3"/>
      <c r="C347" s="4"/>
      <c r="D347" s="5"/>
      <c r="E347" s="6"/>
      <c r="F347" s="6"/>
      <c r="G347" s="6"/>
      <c r="H347" s="5"/>
      <c r="I347" s="3"/>
      <c r="J347" s="6"/>
    </row>
    <row r="348" spans="2:10">
      <c r="B348" s="3"/>
      <c r="C348" s="4"/>
      <c r="D348" s="5"/>
      <c r="E348" s="6"/>
      <c r="F348" s="6"/>
      <c r="G348" s="6"/>
      <c r="H348" s="5"/>
      <c r="I348" s="3"/>
      <c r="J348" s="6"/>
    </row>
    <row r="349" spans="2:10">
      <c r="B349" s="3"/>
      <c r="C349" s="4"/>
      <c r="D349" s="5"/>
      <c r="E349" s="6"/>
      <c r="F349" s="6"/>
      <c r="G349" s="6"/>
      <c r="H349" s="5"/>
      <c r="I349" s="3"/>
      <c r="J349" s="6"/>
    </row>
    <row r="350" spans="2:10">
      <c r="B350" s="3"/>
      <c r="C350" s="4"/>
      <c r="D350" s="5"/>
      <c r="E350" s="6"/>
      <c r="F350" s="6"/>
      <c r="G350" s="6"/>
      <c r="H350" s="5"/>
      <c r="I350" s="3"/>
      <c r="J350" s="6"/>
    </row>
    <row r="351" spans="2:10">
      <c r="B351" s="3"/>
      <c r="C351" s="4"/>
      <c r="D351" s="5"/>
      <c r="E351" s="6"/>
      <c r="F351" s="6"/>
      <c r="G351" s="6"/>
      <c r="H351" s="5"/>
      <c r="I351" s="3"/>
      <c r="J351" s="6"/>
    </row>
    <row r="352" spans="2:10">
      <c r="B352" s="3"/>
      <c r="C352" s="4"/>
      <c r="D352" s="5"/>
      <c r="E352" s="6"/>
      <c r="F352" s="6"/>
      <c r="G352" s="6"/>
      <c r="H352" s="5"/>
      <c r="I352" s="3"/>
      <c r="J352" s="6"/>
    </row>
    <row r="353" spans="2:10">
      <c r="B353" s="3"/>
      <c r="C353" s="4"/>
      <c r="D353" s="5"/>
      <c r="E353" s="6"/>
      <c r="F353" s="6"/>
      <c r="G353" s="6"/>
      <c r="H353" s="5"/>
      <c r="I353" s="3"/>
      <c r="J353" s="6"/>
    </row>
    <row r="354" spans="2:10">
      <c r="B354" s="3"/>
      <c r="C354" s="4"/>
      <c r="D354" s="5"/>
      <c r="E354" s="6"/>
      <c r="F354" s="6"/>
      <c r="G354" s="6"/>
      <c r="H354" s="5"/>
      <c r="I354" s="3"/>
      <c r="J354" s="6"/>
    </row>
    <row r="355" spans="2:10">
      <c r="B355" s="3"/>
      <c r="C355" s="4"/>
      <c r="D355" s="5"/>
      <c r="E355" s="6"/>
      <c r="F355" s="6"/>
      <c r="G355" s="6"/>
      <c r="H355" s="5"/>
      <c r="I355" s="3"/>
      <c r="J355" s="6"/>
    </row>
    <row r="356" spans="2:10">
      <c r="B356" s="3"/>
      <c r="C356" s="4"/>
      <c r="D356" s="5"/>
      <c r="E356" s="6"/>
      <c r="F356" s="6"/>
      <c r="G356" s="6"/>
      <c r="H356" s="5"/>
      <c r="I356" s="3"/>
      <c r="J356" s="6"/>
    </row>
    <row r="357" spans="2:10">
      <c r="B357" s="3"/>
      <c r="C357" s="4"/>
      <c r="D357" s="5"/>
      <c r="E357" s="6"/>
      <c r="F357" s="6"/>
      <c r="G357" s="6"/>
      <c r="H357" s="5"/>
      <c r="I357" s="3"/>
      <c r="J357" s="6"/>
    </row>
    <row r="358" spans="2:10">
      <c r="B358" s="3"/>
      <c r="C358" s="4"/>
      <c r="D358" s="5"/>
      <c r="E358" s="6"/>
      <c r="F358" s="6"/>
      <c r="G358" s="6"/>
      <c r="H358" s="5"/>
      <c r="I358" s="3"/>
      <c r="J358" s="6"/>
    </row>
    <row r="359" spans="2:10">
      <c r="B359" s="3"/>
      <c r="C359" s="4"/>
      <c r="D359" s="5"/>
      <c r="E359" s="6"/>
      <c r="F359" s="6"/>
      <c r="G359" s="6"/>
      <c r="H359" s="5"/>
      <c r="I359" s="3"/>
      <c r="J359" s="6"/>
    </row>
    <row r="360" spans="2:10">
      <c r="B360" s="3"/>
      <c r="C360" s="4"/>
      <c r="D360" s="5"/>
      <c r="E360" s="6"/>
      <c r="F360" s="6"/>
      <c r="G360" s="6"/>
      <c r="H360" s="5"/>
      <c r="I360" s="3"/>
      <c r="J360" s="6"/>
    </row>
    <row r="361" spans="2:10">
      <c r="B361" s="3"/>
      <c r="C361" s="4"/>
      <c r="D361" s="5"/>
      <c r="E361" s="6"/>
      <c r="F361" s="6"/>
      <c r="G361" s="6"/>
      <c r="H361" s="5"/>
      <c r="I361" s="3"/>
      <c r="J361" s="6"/>
    </row>
    <row r="362" spans="2:10">
      <c r="B362" s="3"/>
      <c r="C362" s="4"/>
      <c r="D362" s="5"/>
      <c r="E362" s="6"/>
      <c r="F362" s="6"/>
      <c r="G362" s="6"/>
      <c r="H362" s="5"/>
      <c r="I362" s="3"/>
      <c r="J362" s="6"/>
    </row>
    <row r="363" spans="2:10">
      <c r="B363" s="3"/>
      <c r="C363" s="4"/>
      <c r="D363" s="5"/>
      <c r="E363" s="6"/>
      <c r="F363" s="6"/>
      <c r="G363" s="6"/>
      <c r="H363" s="5"/>
      <c r="I363" s="3"/>
      <c r="J363" s="6"/>
    </row>
    <row r="364" spans="2:10">
      <c r="B364" s="3"/>
      <c r="C364" s="4"/>
      <c r="D364" s="5"/>
      <c r="E364" s="6"/>
      <c r="F364" s="6"/>
      <c r="G364" s="6"/>
      <c r="H364" s="5"/>
      <c r="I364" s="3"/>
      <c r="J364" s="6"/>
    </row>
    <row r="365" spans="2:10">
      <c r="B365" s="3"/>
      <c r="C365" s="4"/>
      <c r="D365" s="5"/>
      <c r="E365" s="6"/>
      <c r="F365" s="6"/>
      <c r="G365" s="6"/>
      <c r="H365" s="5"/>
      <c r="I365" s="3"/>
      <c r="J365" s="6"/>
    </row>
    <row r="366" spans="2:10">
      <c r="B366" s="3"/>
      <c r="C366" s="4"/>
      <c r="D366" s="5"/>
      <c r="E366" s="6"/>
      <c r="F366" s="6"/>
      <c r="G366" s="6"/>
      <c r="H366" s="5"/>
      <c r="I366" s="3"/>
      <c r="J366" s="6"/>
    </row>
    <row r="367" spans="2:10">
      <c r="B367" s="3"/>
      <c r="C367" s="4"/>
      <c r="D367" s="5"/>
      <c r="E367" s="6"/>
      <c r="F367" s="6"/>
      <c r="G367" s="6"/>
      <c r="H367" s="5"/>
      <c r="I367" s="3"/>
      <c r="J367" s="6"/>
    </row>
    <row r="368" spans="2:10">
      <c r="B368" s="3"/>
      <c r="C368" s="4"/>
      <c r="D368" s="5"/>
      <c r="E368" s="6"/>
      <c r="F368" s="6"/>
      <c r="G368" s="6"/>
      <c r="H368" s="5"/>
      <c r="I368" s="3"/>
      <c r="J368" s="6"/>
    </row>
    <row r="369" spans="2:10">
      <c r="B369" s="3"/>
      <c r="C369" s="4"/>
      <c r="D369" s="5"/>
      <c r="E369" s="6"/>
      <c r="F369" s="6"/>
      <c r="G369" s="6"/>
      <c r="H369" s="5"/>
      <c r="I369" s="3"/>
      <c r="J369" s="6"/>
    </row>
    <row r="370" spans="2:10">
      <c r="B370" s="3"/>
      <c r="C370" s="4"/>
      <c r="D370" s="5"/>
      <c r="E370" s="6"/>
      <c r="F370" s="6"/>
      <c r="G370" s="6"/>
      <c r="H370" s="5"/>
      <c r="I370" s="3"/>
      <c r="J370" s="6"/>
    </row>
    <row r="371" spans="2:10">
      <c r="B371" s="3"/>
      <c r="C371" s="4"/>
      <c r="D371" s="5"/>
      <c r="E371" s="6"/>
      <c r="F371" s="6"/>
      <c r="G371" s="6"/>
      <c r="H371" s="5"/>
      <c r="I371" s="3"/>
      <c r="J371" s="6"/>
    </row>
    <row r="372" spans="2:10">
      <c r="B372" s="3"/>
      <c r="C372" s="4"/>
      <c r="D372" s="5"/>
      <c r="E372" s="6"/>
      <c r="F372" s="6"/>
      <c r="G372" s="6"/>
      <c r="H372" s="5"/>
      <c r="I372" s="3"/>
      <c r="J372" s="6"/>
    </row>
    <row r="373" spans="2:10">
      <c r="B373" s="3"/>
      <c r="C373" s="4"/>
      <c r="D373" s="5"/>
      <c r="E373" s="6"/>
      <c r="F373" s="6"/>
      <c r="G373" s="6"/>
      <c r="H373" s="5"/>
      <c r="I373" s="3"/>
      <c r="J373" s="6"/>
    </row>
    <row r="374" spans="2:10">
      <c r="B374" s="3"/>
      <c r="C374" s="4"/>
      <c r="D374" s="5"/>
      <c r="E374" s="6"/>
      <c r="F374" s="6"/>
      <c r="G374" s="6"/>
      <c r="H374" s="5"/>
      <c r="I374" s="3"/>
      <c r="J374" s="6"/>
    </row>
    <row r="375" spans="2:10">
      <c r="B375" s="3"/>
      <c r="C375" s="4"/>
      <c r="D375" s="5"/>
      <c r="E375" s="6"/>
      <c r="F375" s="6"/>
      <c r="G375" s="6"/>
      <c r="H375" s="5"/>
      <c r="I375" s="3"/>
      <c r="J375" s="6"/>
    </row>
    <row r="376" spans="2:10">
      <c r="B376" s="3"/>
      <c r="C376" s="4"/>
      <c r="D376" s="5"/>
      <c r="E376" s="6"/>
      <c r="F376" s="6"/>
      <c r="G376" s="6"/>
      <c r="H376" s="5"/>
      <c r="I376" s="3"/>
      <c r="J376" s="6"/>
    </row>
    <row r="377" spans="2:10">
      <c r="B377" s="3"/>
      <c r="C377" s="4"/>
      <c r="D377" s="5"/>
      <c r="E377" s="6"/>
      <c r="F377" s="6"/>
      <c r="G377" s="6"/>
      <c r="H377" s="5"/>
      <c r="I377" s="3"/>
      <c r="J377" s="6"/>
    </row>
    <row r="378" spans="2:10">
      <c r="B378" s="3"/>
      <c r="C378" s="4"/>
      <c r="D378" s="5"/>
      <c r="E378" s="6"/>
      <c r="F378" s="6"/>
      <c r="G378" s="6"/>
      <c r="H378" s="5"/>
      <c r="I378" s="3"/>
      <c r="J378" s="6"/>
    </row>
    <row r="379" spans="2:10">
      <c r="B379" s="3"/>
      <c r="C379" s="4"/>
      <c r="D379" s="5"/>
      <c r="E379" s="6"/>
      <c r="F379" s="6"/>
      <c r="G379" s="6"/>
      <c r="H379" s="5"/>
      <c r="I379" s="3"/>
      <c r="J379" s="6"/>
    </row>
    <row r="380" spans="2:10">
      <c r="B380" s="3"/>
      <c r="C380" s="4"/>
      <c r="D380" s="5"/>
      <c r="E380" s="6"/>
      <c r="F380" s="6"/>
      <c r="G380" s="6"/>
      <c r="H380" s="5"/>
      <c r="I380" s="3"/>
      <c r="J380" s="6"/>
    </row>
    <row r="381" spans="2:10">
      <c r="B381" s="3"/>
      <c r="C381" s="4"/>
      <c r="D381" s="5"/>
      <c r="E381" s="6"/>
      <c r="F381" s="6"/>
      <c r="G381" s="6"/>
      <c r="H381" s="5"/>
      <c r="I381" s="3"/>
      <c r="J381" s="6"/>
    </row>
    <row r="382" spans="2:10">
      <c r="B382" s="3"/>
      <c r="C382" s="4"/>
      <c r="D382" s="5"/>
      <c r="E382" s="6"/>
      <c r="F382" s="6"/>
      <c r="G382" s="6"/>
      <c r="H382" s="5"/>
      <c r="I382" s="3"/>
      <c r="J382" s="6"/>
    </row>
    <row r="383" spans="2:10">
      <c r="B383" s="3"/>
      <c r="C383" s="4"/>
      <c r="D383" s="5"/>
      <c r="E383" s="6"/>
      <c r="F383" s="6"/>
      <c r="G383" s="6"/>
      <c r="H383" s="5"/>
      <c r="I383" s="3"/>
      <c r="J383" s="6"/>
    </row>
    <row r="384" spans="2:10">
      <c r="B384" s="3"/>
      <c r="C384" s="4"/>
      <c r="D384" s="5"/>
      <c r="E384" s="6"/>
      <c r="F384" s="6"/>
      <c r="G384" s="6"/>
      <c r="H384" s="5"/>
      <c r="I384" s="3"/>
      <c r="J384" s="6"/>
    </row>
    <row r="385" spans="2:10">
      <c r="B385" s="3"/>
      <c r="C385" s="4"/>
      <c r="D385" s="5"/>
      <c r="E385" s="6"/>
      <c r="F385" s="6"/>
      <c r="G385" s="6"/>
      <c r="H385" s="5"/>
      <c r="I385" s="3"/>
      <c r="J385" s="6"/>
    </row>
    <row r="386" spans="2:10">
      <c r="B386" s="3"/>
      <c r="C386" s="4"/>
      <c r="D386" s="5"/>
      <c r="E386" s="6"/>
      <c r="F386" s="6"/>
      <c r="G386" s="6"/>
      <c r="H386" s="5"/>
      <c r="I386" s="3"/>
      <c r="J386" s="6"/>
    </row>
    <row r="387" spans="2:10">
      <c r="B387" s="3"/>
      <c r="C387" s="4"/>
      <c r="D387" s="5"/>
      <c r="E387" s="6"/>
      <c r="F387" s="6"/>
      <c r="G387" s="6"/>
      <c r="H387" s="5"/>
      <c r="I387" s="3"/>
      <c r="J387" s="6"/>
    </row>
    <row r="388" spans="2:10">
      <c r="B388" s="3"/>
      <c r="C388" s="4"/>
      <c r="D388" s="5"/>
      <c r="E388" s="6"/>
      <c r="F388" s="6"/>
      <c r="G388" s="6"/>
      <c r="H388" s="5"/>
      <c r="I388" s="3"/>
      <c r="J388" s="6"/>
    </row>
    <row r="389" spans="2:10">
      <c r="B389" s="3"/>
      <c r="C389" s="4"/>
      <c r="D389" s="5"/>
      <c r="E389" s="6"/>
      <c r="F389" s="6"/>
      <c r="G389" s="6"/>
      <c r="H389" s="5"/>
      <c r="I389" s="3"/>
      <c r="J389" s="6"/>
    </row>
    <row r="390" spans="2:10">
      <c r="B390" s="3"/>
      <c r="C390" s="4"/>
      <c r="D390" s="5"/>
      <c r="E390" s="6"/>
      <c r="F390" s="6"/>
      <c r="G390" s="6"/>
      <c r="H390" s="5"/>
      <c r="I390" s="3"/>
      <c r="J390" s="6"/>
    </row>
    <row r="391" spans="2:10">
      <c r="B391" s="3"/>
      <c r="C391" s="4"/>
      <c r="D391" s="5"/>
      <c r="E391" s="6"/>
      <c r="F391" s="6"/>
      <c r="G391" s="6"/>
      <c r="H391" s="5"/>
      <c r="I391" s="3"/>
      <c r="J391" s="6"/>
    </row>
    <row r="392" spans="2:10">
      <c r="B392" s="3"/>
      <c r="C392" s="4"/>
      <c r="D392" s="5"/>
      <c r="E392" s="6"/>
      <c r="F392" s="6"/>
      <c r="G392" s="6"/>
      <c r="H392" s="5"/>
      <c r="I392" s="3"/>
      <c r="J392" s="6"/>
    </row>
    <row r="393" spans="2:10">
      <c r="B393" s="3"/>
      <c r="C393" s="4"/>
      <c r="D393" s="5"/>
      <c r="E393" s="6"/>
      <c r="F393" s="6"/>
      <c r="G393" s="6"/>
      <c r="H393" s="5"/>
      <c r="I393" s="3"/>
      <c r="J393" s="6"/>
    </row>
    <row r="394" spans="2:10">
      <c r="B394" s="3"/>
      <c r="C394" s="4"/>
      <c r="D394" s="5"/>
      <c r="E394" s="6"/>
      <c r="F394" s="6"/>
      <c r="G394" s="6"/>
      <c r="H394" s="5"/>
      <c r="I394" s="3"/>
      <c r="J394" s="6"/>
    </row>
    <row r="395" spans="2:10">
      <c r="B395" s="3"/>
      <c r="C395" s="4"/>
      <c r="D395" s="5"/>
      <c r="E395" s="6"/>
      <c r="F395" s="6"/>
      <c r="G395" s="6"/>
      <c r="H395" s="5"/>
      <c r="I395" s="3"/>
      <c r="J395" s="6"/>
    </row>
    <row r="396" spans="2:10">
      <c r="B396" s="3"/>
      <c r="C396" s="4"/>
      <c r="D396" s="5"/>
      <c r="E396" s="6"/>
      <c r="F396" s="6"/>
      <c r="G396" s="6"/>
      <c r="H396" s="5"/>
      <c r="I396" s="3"/>
      <c r="J396" s="6"/>
    </row>
    <row r="397" spans="2:10">
      <c r="B397" s="3"/>
      <c r="C397" s="4"/>
      <c r="D397" s="5"/>
      <c r="E397" s="6"/>
      <c r="F397" s="6"/>
      <c r="G397" s="6"/>
      <c r="H397" s="5"/>
      <c r="I397" s="3"/>
      <c r="J397" s="6"/>
    </row>
    <row r="398" spans="2:10">
      <c r="B398" s="3"/>
      <c r="C398" s="4"/>
      <c r="D398" s="5"/>
      <c r="E398" s="6"/>
      <c r="F398" s="6"/>
      <c r="G398" s="6"/>
      <c r="H398" s="5"/>
      <c r="I398" s="3"/>
      <c r="J398" s="6"/>
    </row>
    <row r="399" spans="2:10">
      <c r="B399" s="3"/>
      <c r="C399" s="4"/>
      <c r="D399" s="5"/>
      <c r="E399" s="6"/>
      <c r="F399" s="6"/>
      <c r="G399" s="6"/>
      <c r="H399" s="5"/>
      <c r="I399" s="3"/>
      <c r="J399" s="6"/>
    </row>
    <row r="400" spans="2:10">
      <c r="B400" s="3"/>
      <c r="C400" s="4"/>
      <c r="D400" s="5"/>
      <c r="E400" s="6"/>
      <c r="F400" s="6"/>
      <c r="G400" s="6"/>
      <c r="H400" s="5"/>
      <c r="I400" s="3"/>
      <c r="J400" s="6"/>
    </row>
    <row r="401" spans="2:10">
      <c r="B401" s="3"/>
      <c r="C401" s="4"/>
      <c r="D401" s="5"/>
      <c r="E401" s="6"/>
      <c r="F401" s="6"/>
      <c r="G401" s="6"/>
      <c r="H401" s="5"/>
      <c r="I401" s="3"/>
      <c r="J401" s="6"/>
    </row>
    <row r="402" spans="2:10">
      <c r="B402" s="3"/>
      <c r="C402" s="4"/>
      <c r="D402" s="5"/>
      <c r="E402" s="6"/>
      <c r="F402" s="6"/>
      <c r="G402" s="6"/>
      <c r="H402" s="5"/>
      <c r="I402" s="3"/>
      <c r="J402" s="6"/>
    </row>
    <row r="403" spans="2:10">
      <c r="B403" s="3"/>
      <c r="C403" s="4"/>
      <c r="D403" s="5"/>
      <c r="E403" s="6"/>
      <c r="F403" s="6"/>
      <c r="G403" s="6"/>
      <c r="H403" s="5"/>
      <c r="I403" s="3"/>
      <c r="J403" s="6"/>
    </row>
    <row r="404" spans="2:10">
      <c r="B404" s="3"/>
      <c r="C404" s="4"/>
      <c r="D404" s="5"/>
      <c r="E404" s="6"/>
      <c r="F404" s="6"/>
      <c r="G404" s="6"/>
      <c r="H404" s="5"/>
      <c r="I404" s="3"/>
      <c r="J404" s="6"/>
    </row>
    <row r="405" spans="2:10">
      <c r="B405" s="3"/>
      <c r="C405" s="4"/>
      <c r="D405" s="5"/>
      <c r="E405" s="6"/>
      <c r="F405" s="6"/>
      <c r="G405" s="6"/>
      <c r="H405" s="5"/>
      <c r="I405" s="3"/>
      <c r="J405" s="6"/>
    </row>
    <row r="406" spans="2:10">
      <c r="B406" s="3"/>
      <c r="C406" s="4"/>
      <c r="D406" s="5"/>
      <c r="E406" s="6"/>
      <c r="F406" s="6"/>
      <c r="G406" s="6"/>
      <c r="H406" s="5"/>
      <c r="I406" s="3"/>
      <c r="J406" s="6"/>
    </row>
    <row r="407" spans="2:10">
      <c r="B407" s="3"/>
      <c r="C407" s="4"/>
      <c r="D407" s="5"/>
      <c r="E407" s="6"/>
      <c r="F407" s="6"/>
      <c r="G407" s="6"/>
      <c r="H407" s="5"/>
      <c r="I407" s="3"/>
      <c r="J407" s="6"/>
    </row>
    <row r="408" spans="2:10">
      <c r="B408" s="3"/>
      <c r="C408" s="4"/>
      <c r="D408" s="5"/>
      <c r="E408" s="6"/>
      <c r="F408" s="6"/>
      <c r="G408" s="6"/>
      <c r="H408" s="5"/>
      <c r="I408" s="3"/>
      <c r="J408" s="6"/>
    </row>
    <row r="409" spans="2:10">
      <c r="B409" s="3"/>
      <c r="C409" s="4"/>
      <c r="D409" s="5"/>
      <c r="E409" s="6"/>
      <c r="F409" s="6"/>
      <c r="G409" s="6"/>
      <c r="H409" s="5"/>
      <c r="I409" s="3"/>
      <c r="J409" s="6"/>
    </row>
    <row r="410" spans="2:10">
      <c r="B410" s="3"/>
      <c r="C410" s="4"/>
      <c r="D410" s="5"/>
      <c r="E410" s="6"/>
      <c r="F410" s="6"/>
      <c r="G410" s="6"/>
      <c r="H410" s="5"/>
      <c r="I410" s="3"/>
      <c r="J410" s="6"/>
    </row>
    <row r="411" spans="2:10">
      <c r="B411" s="3"/>
      <c r="C411" s="4"/>
      <c r="D411" s="5"/>
      <c r="E411" s="6"/>
      <c r="F411" s="6"/>
      <c r="G411" s="6"/>
      <c r="H411" s="5"/>
      <c r="I411" s="3"/>
      <c r="J411" s="6"/>
    </row>
    <row r="412" spans="2:10">
      <c r="B412" s="3"/>
      <c r="C412" s="4"/>
      <c r="D412" s="5"/>
      <c r="E412" s="6"/>
      <c r="F412" s="6"/>
      <c r="G412" s="6"/>
      <c r="H412" s="5"/>
      <c r="I412" s="3"/>
      <c r="J412" s="6"/>
    </row>
    <row r="413" spans="2:10">
      <c r="B413" s="3"/>
      <c r="C413" s="4"/>
      <c r="D413" s="5"/>
      <c r="E413" s="6"/>
      <c r="F413" s="6"/>
      <c r="G413" s="6"/>
      <c r="H413" s="5"/>
      <c r="I413" s="3"/>
      <c r="J413" s="6"/>
    </row>
    <row r="414" spans="2:10">
      <c r="B414" s="3"/>
      <c r="C414" s="4"/>
      <c r="D414" s="5"/>
      <c r="E414" s="6"/>
      <c r="F414" s="6"/>
      <c r="G414" s="6"/>
      <c r="H414" s="5"/>
      <c r="I414" s="3"/>
      <c r="J414" s="6"/>
    </row>
    <row r="415" spans="2:10">
      <c r="B415" s="3"/>
      <c r="C415" s="4"/>
      <c r="D415" s="5"/>
      <c r="E415" s="6"/>
      <c r="F415" s="6"/>
      <c r="G415" s="6"/>
      <c r="H415" s="5"/>
      <c r="I415" s="3"/>
      <c r="J415" s="6"/>
    </row>
    <row r="416" spans="2:10">
      <c r="B416" s="3"/>
      <c r="C416" s="4"/>
      <c r="D416" s="5"/>
      <c r="E416" s="6"/>
      <c r="F416" s="6"/>
      <c r="G416" s="6"/>
      <c r="H416" s="5"/>
      <c r="I416" s="3"/>
      <c r="J416" s="6"/>
    </row>
    <row r="417" spans="2:10">
      <c r="B417" s="3"/>
      <c r="C417" s="4"/>
      <c r="D417" s="5"/>
      <c r="E417" s="6"/>
      <c r="F417" s="6"/>
      <c r="G417" s="6"/>
      <c r="H417" s="5"/>
      <c r="I417" s="3"/>
      <c r="J417" s="6"/>
    </row>
    <row r="418" spans="2:10">
      <c r="B418" s="3"/>
      <c r="C418" s="4"/>
      <c r="D418" s="5"/>
      <c r="E418" s="6"/>
      <c r="F418" s="6"/>
      <c r="G418" s="6"/>
      <c r="H418" s="5"/>
      <c r="I418" s="3"/>
      <c r="J418" s="6"/>
    </row>
    <row r="419" spans="2:10">
      <c r="B419" s="3"/>
      <c r="C419" s="4"/>
      <c r="D419" s="5"/>
      <c r="E419" s="6"/>
      <c r="F419" s="6"/>
      <c r="G419" s="6"/>
      <c r="H419" s="5"/>
      <c r="I419" s="3"/>
      <c r="J419" s="6"/>
    </row>
    <row r="420" spans="2:10">
      <c r="B420" s="3"/>
      <c r="C420" s="4"/>
      <c r="D420" s="5"/>
      <c r="E420" s="6"/>
      <c r="F420" s="6"/>
      <c r="G420" s="6"/>
      <c r="H420" s="5"/>
      <c r="I420" s="3"/>
      <c r="J420" s="6"/>
    </row>
    <row r="421" spans="2:10">
      <c r="B421" s="3"/>
      <c r="C421" s="4"/>
      <c r="D421" s="5"/>
      <c r="E421" s="6"/>
      <c r="F421" s="6"/>
      <c r="G421" s="6"/>
      <c r="H421" s="5"/>
      <c r="I421" s="3"/>
      <c r="J421" s="6"/>
    </row>
    <row r="422" spans="2:10">
      <c r="B422" s="3"/>
      <c r="C422" s="4"/>
      <c r="D422" s="5"/>
      <c r="E422" s="6"/>
      <c r="F422" s="6"/>
      <c r="G422" s="6"/>
      <c r="H422" s="5"/>
      <c r="I422" s="3"/>
      <c r="J422" s="6"/>
    </row>
    <row r="423" spans="2:10">
      <c r="B423" s="3"/>
      <c r="C423" s="4"/>
      <c r="D423" s="5"/>
      <c r="E423" s="6"/>
      <c r="F423" s="6"/>
      <c r="G423" s="6"/>
      <c r="H423" s="5"/>
      <c r="I423" s="3"/>
      <c r="J423" s="6"/>
    </row>
    <row r="424" spans="2:10">
      <c r="B424" s="3"/>
      <c r="C424" s="4"/>
      <c r="D424" s="5"/>
      <c r="E424" s="6"/>
      <c r="F424" s="6"/>
      <c r="G424" s="6"/>
      <c r="H424" s="5"/>
      <c r="I424" s="3"/>
      <c r="J424" s="6"/>
    </row>
    <row r="425" spans="2:10">
      <c r="B425" s="3"/>
      <c r="C425" s="4"/>
      <c r="D425" s="5"/>
      <c r="E425" s="6"/>
      <c r="F425" s="6"/>
      <c r="G425" s="6"/>
      <c r="H425" s="5"/>
      <c r="I425" s="3"/>
      <c r="J425" s="6"/>
    </row>
    <row r="426" spans="2:10">
      <c r="B426" s="3"/>
      <c r="C426" s="4"/>
      <c r="D426" s="5"/>
      <c r="E426" s="6"/>
      <c r="F426" s="6"/>
      <c r="G426" s="6"/>
      <c r="H426" s="5"/>
      <c r="I426" s="3"/>
      <c r="J426" s="6"/>
    </row>
    <row r="427" spans="2:10">
      <c r="B427" s="3"/>
      <c r="C427" s="4"/>
      <c r="D427" s="5"/>
      <c r="E427" s="6"/>
      <c r="F427" s="6"/>
      <c r="G427" s="6"/>
      <c r="H427" s="5"/>
      <c r="I427" s="3"/>
      <c r="J427" s="6"/>
    </row>
    <row r="428" spans="2:10">
      <c r="B428" s="3"/>
      <c r="C428" s="4"/>
      <c r="D428" s="5"/>
      <c r="E428" s="6"/>
      <c r="F428" s="6"/>
      <c r="G428" s="6"/>
      <c r="H428" s="5"/>
      <c r="I428" s="3"/>
      <c r="J428" s="6"/>
    </row>
    <row r="429" spans="2:10">
      <c r="B429" s="3"/>
      <c r="C429" s="4"/>
      <c r="D429" s="5"/>
      <c r="E429" s="6"/>
      <c r="F429" s="6"/>
      <c r="G429" s="6"/>
      <c r="H429" s="5"/>
      <c r="I429" s="3"/>
      <c r="J429" s="6"/>
    </row>
    <row r="430" spans="2:10">
      <c r="B430" s="3"/>
      <c r="C430" s="4"/>
      <c r="D430" s="5"/>
      <c r="E430" s="6"/>
      <c r="F430" s="6"/>
      <c r="G430" s="6"/>
      <c r="H430" s="5"/>
      <c r="I430" s="3"/>
      <c r="J430" s="6"/>
    </row>
    <row r="431" spans="2:10">
      <c r="B431" s="3"/>
      <c r="C431" s="4"/>
      <c r="D431" s="5"/>
      <c r="E431" s="6"/>
      <c r="F431" s="6"/>
      <c r="G431" s="6"/>
      <c r="H431" s="5"/>
      <c r="I431" s="3"/>
      <c r="J431" s="6"/>
    </row>
    <row r="432" spans="2:10">
      <c r="B432" s="3"/>
      <c r="C432" s="4"/>
      <c r="D432" s="5"/>
      <c r="E432" s="6"/>
      <c r="F432" s="6"/>
      <c r="G432" s="6"/>
      <c r="H432" s="5"/>
      <c r="I432" s="3"/>
      <c r="J432" s="6"/>
    </row>
    <row r="433" spans="2:10">
      <c r="B433" s="3"/>
      <c r="C433" s="4"/>
      <c r="D433" s="5"/>
      <c r="E433" s="6"/>
      <c r="F433" s="6"/>
      <c r="G433" s="6"/>
      <c r="H433" s="5"/>
      <c r="I433" s="3"/>
      <c r="J433" s="6"/>
    </row>
    <row r="434" spans="2:10">
      <c r="B434" s="3"/>
      <c r="C434" s="4"/>
      <c r="D434" s="5"/>
      <c r="E434" s="6"/>
      <c r="F434" s="6"/>
      <c r="G434" s="6"/>
      <c r="H434" s="5"/>
      <c r="I434" s="3"/>
      <c r="J434" s="6"/>
    </row>
    <row r="435" spans="2:10">
      <c r="B435" s="3"/>
      <c r="C435" s="4"/>
      <c r="D435" s="5"/>
      <c r="E435" s="6"/>
      <c r="F435" s="6"/>
      <c r="G435" s="6"/>
      <c r="H435" s="5"/>
      <c r="I435" s="3"/>
      <c r="J435" s="6"/>
    </row>
    <row r="436" spans="2:10">
      <c r="B436" s="3"/>
      <c r="C436" s="4"/>
      <c r="D436" s="5"/>
      <c r="E436" s="6"/>
      <c r="F436" s="6"/>
      <c r="G436" s="6"/>
      <c r="H436" s="5"/>
      <c r="I436" s="3"/>
      <c r="J436" s="6"/>
    </row>
    <row r="437" spans="2:10">
      <c r="B437" s="3"/>
      <c r="C437" s="4"/>
      <c r="D437" s="5"/>
      <c r="E437" s="6"/>
      <c r="F437" s="6"/>
      <c r="G437" s="6"/>
      <c r="H437" s="5"/>
      <c r="I437" s="3"/>
      <c r="J437" s="6"/>
    </row>
    <row r="438" spans="2:10">
      <c r="B438" s="3"/>
      <c r="C438" s="4"/>
      <c r="D438" s="5"/>
      <c r="E438" s="6"/>
      <c r="F438" s="6"/>
      <c r="G438" s="6"/>
      <c r="H438" s="5"/>
      <c r="I438" s="3"/>
      <c r="J438" s="6"/>
    </row>
    <row r="439" spans="2:10">
      <c r="B439" s="3"/>
      <c r="C439" s="4"/>
      <c r="D439" s="5"/>
      <c r="E439" s="6"/>
      <c r="F439" s="6"/>
      <c r="G439" s="6"/>
      <c r="H439" s="5"/>
      <c r="I439" s="3"/>
      <c r="J439" s="6"/>
    </row>
    <row r="440" spans="2:10">
      <c r="B440" s="3"/>
      <c r="C440" s="4"/>
      <c r="D440" s="5"/>
      <c r="E440" s="6"/>
      <c r="F440" s="6"/>
      <c r="G440" s="6"/>
      <c r="H440" s="5"/>
      <c r="I440" s="3"/>
      <c r="J440" s="6"/>
    </row>
    <row r="441" spans="2:10">
      <c r="B441" s="3"/>
      <c r="C441" s="4"/>
      <c r="D441" s="5"/>
      <c r="E441" s="6"/>
      <c r="F441" s="6"/>
      <c r="G441" s="6"/>
      <c r="H441" s="5"/>
      <c r="I441" s="3"/>
      <c r="J441" s="6"/>
    </row>
    <row r="442" spans="2:10">
      <c r="B442" s="3"/>
      <c r="C442" s="4"/>
      <c r="D442" s="5"/>
      <c r="E442" s="6"/>
      <c r="F442" s="6"/>
      <c r="G442" s="6"/>
      <c r="H442" s="5"/>
      <c r="I442" s="3"/>
      <c r="J442" s="6"/>
    </row>
    <row r="443" spans="2:10">
      <c r="B443" s="3"/>
      <c r="C443" s="4"/>
      <c r="D443" s="5"/>
      <c r="E443" s="6"/>
      <c r="F443" s="6"/>
      <c r="G443" s="6"/>
      <c r="H443" s="5"/>
      <c r="I443" s="3"/>
      <c r="J443" s="6"/>
    </row>
    <row r="444" spans="2:10">
      <c r="B444" s="3"/>
      <c r="C444" s="4"/>
      <c r="D444" s="5"/>
      <c r="E444" s="6"/>
      <c r="F444" s="6"/>
      <c r="G444" s="6"/>
      <c r="H444" s="5"/>
      <c r="I444" s="3"/>
      <c r="J444" s="6"/>
    </row>
    <row r="445" spans="2:10">
      <c r="B445" s="3"/>
      <c r="C445" s="4"/>
      <c r="D445" s="5"/>
      <c r="E445" s="6"/>
      <c r="F445" s="6"/>
      <c r="G445" s="6"/>
      <c r="H445" s="5"/>
      <c r="I445" s="3"/>
      <c r="J445" s="6"/>
    </row>
    <row r="446" spans="2:10">
      <c r="B446" s="3"/>
      <c r="C446" s="4"/>
      <c r="D446" s="5"/>
      <c r="E446" s="6"/>
      <c r="F446" s="6"/>
      <c r="G446" s="6"/>
      <c r="H446" s="5"/>
      <c r="I446" s="3"/>
      <c r="J446" s="6"/>
    </row>
    <row r="447" spans="2:10">
      <c r="B447" s="3"/>
      <c r="C447" s="4"/>
      <c r="D447" s="5"/>
      <c r="E447" s="6"/>
      <c r="F447" s="6"/>
      <c r="G447" s="6"/>
      <c r="H447" s="5"/>
      <c r="I447" s="3"/>
      <c r="J447" s="6"/>
    </row>
    <row r="448" spans="2:10">
      <c r="B448" s="3"/>
      <c r="C448" s="4"/>
      <c r="D448" s="5"/>
      <c r="E448" s="6"/>
      <c r="F448" s="6"/>
      <c r="G448" s="6"/>
      <c r="H448" s="5"/>
      <c r="I448" s="3"/>
      <c r="J448" s="6"/>
    </row>
    <row r="449" spans="2:10">
      <c r="B449" s="3"/>
      <c r="C449" s="4"/>
      <c r="D449" s="5"/>
      <c r="E449" s="6"/>
      <c r="F449" s="6"/>
      <c r="G449" s="6"/>
      <c r="H449" s="5"/>
      <c r="I449" s="3"/>
      <c r="J449" s="6"/>
    </row>
    <row r="450" spans="2:10">
      <c r="B450" s="3"/>
      <c r="C450" s="4"/>
      <c r="D450" s="5"/>
      <c r="E450" s="6"/>
      <c r="F450" s="6"/>
      <c r="G450" s="6"/>
      <c r="H450" s="5"/>
      <c r="I450" s="3"/>
      <c r="J450" s="6"/>
    </row>
    <row r="451" spans="2:10">
      <c r="B451" s="3"/>
      <c r="C451" s="4"/>
      <c r="D451" s="5"/>
      <c r="E451" s="6"/>
      <c r="F451" s="6"/>
      <c r="G451" s="6"/>
      <c r="H451" s="5"/>
      <c r="I451" s="3"/>
      <c r="J451" s="6"/>
    </row>
    <row r="452" spans="2:10">
      <c r="B452" s="3"/>
      <c r="C452" s="4"/>
      <c r="D452" s="5"/>
      <c r="E452" s="6"/>
      <c r="F452" s="6"/>
      <c r="G452" s="6"/>
      <c r="H452" s="5"/>
      <c r="I452" s="3"/>
      <c r="J452" s="6"/>
    </row>
    <row r="453" spans="2:10">
      <c r="B453" s="3"/>
      <c r="C453" s="4"/>
      <c r="D453" s="5"/>
      <c r="E453" s="6"/>
      <c r="F453" s="6"/>
      <c r="G453" s="6"/>
      <c r="H453" s="5"/>
      <c r="I453" s="3"/>
      <c r="J453" s="6"/>
    </row>
    <row r="454" spans="2:10">
      <c r="B454" s="3"/>
      <c r="C454" s="4"/>
      <c r="D454" s="5"/>
      <c r="E454" s="6"/>
      <c r="F454" s="6"/>
      <c r="G454" s="6"/>
      <c r="H454" s="5"/>
      <c r="I454" s="3"/>
      <c r="J454" s="6"/>
    </row>
    <row r="455" spans="2:10">
      <c r="B455" s="3"/>
      <c r="C455" s="4"/>
      <c r="D455" s="5"/>
      <c r="E455" s="6"/>
      <c r="F455" s="6"/>
      <c r="G455" s="6"/>
      <c r="H455" s="5"/>
      <c r="I455" s="3"/>
      <c r="J455" s="6"/>
    </row>
    <row r="456" spans="2:10">
      <c r="B456" s="3"/>
      <c r="C456" s="4"/>
      <c r="D456" s="5"/>
      <c r="E456" s="6"/>
      <c r="F456" s="6"/>
      <c r="G456" s="6"/>
      <c r="H456" s="5"/>
      <c r="I456" s="3"/>
      <c r="J456" s="6"/>
    </row>
    <row r="457" spans="2:10">
      <c r="B457" s="3"/>
      <c r="C457" s="4"/>
      <c r="D457" s="5"/>
      <c r="E457" s="6"/>
      <c r="F457" s="6"/>
      <c r="G457" s="6"/>
      <c r="H457" s="5"/>
      <c r="I457" s="3"/>
      <c r="J457" s="6"/>
    </row>
    <row r="458" spans="2:10">
      <c r="B458" s="3"/>
      <c r="C458" s="4"/>
      <c r="D458" s="5"/>
      <c r="E458" s="6"/>
      <c r="F458" s="6"/>
      <c r="G458" s="6"/>
      <c r="H458" s="5"/>
      <c r="I458" s="3"/>
      <c r="J458" s="6"/>
    </row>
    <row r="459" spans="2:10">
      <c r="B459" s="3"/>
      <c r="C459" s="4"/>
      <c r="D459" s="5"/>
      <c r="E459" s="6"/>
      <c r="F459" s="6"/>
      <c r="G459" s="6"/>
      <c r="H459" s="5"/>
      <c r="I459" s="3"/>
      <c r="J459" s="6"/>
    </row>
    <row r="460" spans="2:10">
      <c r="B460" s="3"/>
      <c r="C460" s="4"/>
      <c r="D460" s="5"/>
      <c r="E460" s="6"/>
      <c r="F460" s="6"/>
      <c r="G460" s="6"/>
      <c r="H460" s="5"/>
      <c r="I460" s="3"/>
      <c r="J460" s="6"/>
    </row>
    <row r="461" spans="2:10">
      <c r="B461" s="3"/>
      <c r="C461" s="4"/>
      <c r="D461" s="5"/>
      <c r="E461" s="6"/>
      <c r="F461" s="6"/>
      <c r="G461" s="6"/>
      <c r="H461" s="5"/>
      <c r="I461" s="3"/>
      <c r="J461" s="6"/>
    </row>
    <row r="462" spans="2:10">
      <c r="B462" s="3"/>
      <c r="C462" s="4"/>
      <c r="D462" s="5"/>
      <c r="E462" s="6"/>
      <c r="F462" s="6"/>
      <c r="G462" s="6"/>
      <c r="H462" s="5"/>
      <c r="I462" s="3"/>
      <c r="J462" s="6"/>
    </row>
    <row r="463" spans="2:10">
      <c r="B463" s="3"/>
      <c r="C463" s="4"/>
      <c r="D463" s="5"/>
      <c r="E463" s="6"/>
      <c r="F463" s="6"/>
      <c r="G463" s="6"/>
      <c r="H463" s="5"/>
      <c r="I463" s="3"/>
      <c r="J463" s="6"/>
    </row>
    <row r="464" spans="2:10">
      <c r="B464" s="3"/>
      <c r="C464" s="4"/>
      <c r="D464" s="5"/>
      <c r="E464" s="6"/>
      <c r="F464" s="6"/>
      <c r="G464" s="6"/>
      <c r="H464" s="5"/>
      <c r="I464" s="3"/>
      <c r="J464" s="6"/>
    </row>
    <row r="465" spans="2:10">
      <c r="B465" s="3"/>
      <c r="C465" s="4"/>
      <c r="D465" s="5"/>
      <c r="E465" s="6"/>
      <c r="F465" s="6"/>
      <c r="G465" s="6"/>
      <c r="H465" s="5"/>
      <c r="I465" s="3"/>
      <c r="J465" s="6"/>
    </row>
    <row r="466" spans="2:10">
      <c r="B466" s="3"/>
      <c r="C466" s="4"/>
      <c r="D466" s="5"/>
      <c r="E466" s="6"/>
      <c r="F466" s="6"/>
      <c r="G466" s="6"/>
      <c r="H466" s="5"/>
      <c r="I466" s="3"/>
      <c r="J466" s="6"/>
    </row>
    <row r="467" spans="2:10">
      <c r="B467" s="3"/>
      <c r="C467" s="4"/>
      <c r="D467" s="5"/>
      <c r="E467" s="6"/>
      <c r="F467" s="6"/>
      <c r="G467" s="6"/>
      <c r="H467" s="5"/>
      <c r="I467" s="3"/>
      <c r="J467" s="6"/>
    </row>
    <row r="468" spans="2:10">
      <c r="B468" s="3"/>
      <c r="C468" s="4"/>
      <c r="D468" s="5"/>
      <c r="E468" s="6"/>
      <c r="F468" s="6"/>
      <c r="G468" s="6"/>
      <c r="H468" s="5"/>
      <c r="I468" s="3"/>
      <c r="J468" s="6"/>
    </row>
    <row r="469" spans="2:10">
      <c r="B469" s="3"/>
      <c r="C469" s="4"/>
      <c r="D469" s="5"/>
      <c r="E469" s="6"/>
      <c r="F469" s="6"/>
      <c r="G469" s="6"/>
      <c r="H469" s="5"/>
      <c r="I469" s="3"/>
      <c r="J469" s="6"/>
    </row>
    <row r="470" spans="2:10">
      <c r="B470" s="3"/>
      <c r="C470" s="4"/>
      <c r="D470" s="5"/>
      <c r="E470" s="6"/>
      <c r="F470" s="6"/>
      <c r="G470" s="6"/>
      <c r="H470" s="5"/>
      <c r="I470" s="3"/>
      <c r="J470" s="6"/>
    </row>
    <row r="471" spans="2:10">
      <c r="B471" s="3"/>
      <c r="C471" s="4"/>
      <c r="D471" s="5"/>
      <c r="E471" s="6"/>
      <c r="F471" s="6"/>
      <c r="G471" s="6"/>
      <c r="H471" s="5"/>
      <c r="I471" s="3"/>
      <c r="J471" s="6"/>
    </row>
    <row r="472" spans="2:10">
      <c r="B472" s="3"/>
      <c r="C472" s="4"/>
      <c r="D472" s="5"/>
      <c r="E472" s="6"/>
      <c r="F472" s="6"/>
      <c r="G472" s="6"/>
      <c r="H472" s="5"/>
      <c r="I472" s="3"/>
      <c r="J472" s="6"/>
    </row>
    <row r="473" spans="2:10">
      <c r="B473" s="3"/>
      <c r="C473" s="4"/>
      <c r="D473" s="5"/>
      <c r="E473" s="6"/>
      <c r="F473" s="6"/>
      <c r="G473" s="6"/>
      <c r="H473" s="5"/>
      <c r="I473" s="3"/>
      <c r="J473" s="6"/>
    </row>
    <row r="474" spans="2:10">
      <c r="B474" s="3"/>
      <c r="C474" s="4"/>
      <c r="D474" s="5"/>
      <c r="E474" s="6"/>
      <c r="F474" s="6"/>
      <c r="G474" s="6"/>
      <c r="H474" s="5"/>
      <c r="I474" s="3"/>
      <c r="J474" s="6"/>
    </row>
    <row r="475" spans="2:10">
      <c r="B475" s="3"/>
      <c r="C475" s="4"/>
      <c r="D475" s="5"/>
      <c r="E475" s="6"/>
      <c r="F475" s="6"/>
      <c r="G475" s="6"/>
      <c r="H475" s="5"/>
      <c r="I475" s="3"/>
      <c r="J475" s="6"/>
    </row>
    <row r="476" spans="2:10">
      <c r="B476" s="3"/>
      <c r="C476" s="4"/>
      <c r="D476" s="5"/>
      <c r="E476" s="6"/>
      <c r="F476" s="6"/>
      <c r="G476" s="6"/>
      <c r="H476" s="5"/>
      <c r="I476" s="3"/>
      <c r="J476" s="6"/>
    </row>
    <row r="477" spans="2:10">
      <c r="B477" s="3"/>
      <c r="C477" s="4"/>
      <c r="D477" s="5"/>
      <c r="E477" s="6"/>
      <c r="F477" s="6"/>
      <c r="G477" s="6"/>
      <c r="H477" s="5"/>
      <c r="I477" s="3"/>
      <c r="J477" s="6"/>
    </row>
    <row r="478" spans="2:10">
      <c r="B478" s="3"/>
      <c r="C478" s="4"/>
      <c r="D478" s="5"/>
      <c r="E478" s="6"/>
      <c r="F478" s="6"/>
      <c r="G478" s="6"/>
      <c r="H478" s="5"/>
      <c r="I478" s="3"/>
      <c r="J478" s="6"/>
    </row>
    <row r="479" spans="2:10">
      <c r="B479" s="3"/>
      <c r="C479" s="4"/>
      <c r="D479" s="5"/>
      <c r="E479" s="6"/>
      <c r="F479" s="6"/>
      <c r="G479" s="6"/>
      <c r="H479" s="5"/>
      <c r="I479" s="3"/>
      <c r="J479" s="6"/>
    </row>
    <row r="480" spans="2:10">
      <c r="B480" s="3"/>
      <c r="C480" s="4"/>
      <c r="D480" s="5"/>
      <c r="E480" s="6"/>
      <c r="F480" s="6"/>
      <c r="G480" s="6"/>
      <c r="H480" s="5"/>
      <c r="I480" s="3"/>
      <c r="J480" s="6"/>
    </row>
    <row r="481" spans="2:10">
      <c r="B481" s="3"/>
      <c r="C481" s="4"/>
      <c r="D481" s="5"/>
      <c r="E481" s="6"/>
      <c r="F481" s="6"/>
      <c r="G481" s="6"/>
      <c r="H481" s="5"/>
      <c r="I481" s="3"/>
      <c r="J481" s="6"/>
    </row>
    <row r="482" spans="2:10">
      <c r="B482" s="3"/>
      <c r="C482" s="4"/>
      <c r="D482" s="5"/>
      <c r="E482" s="6"/>
      <c r="F482" s="6"/>
      <c r="G482" s="6"/>
      <c r="H482" s="5"/>
      <c r="I482" s="3"/>
      <c r="J482" s="6"/>
    </row>
    <row r="483" spans="2:10">
      <c r="B483" s="3"/>
      <c r="C483" s="4"/>
      <c r="D483" s="5"/>
      <c r="E483" s="6"/>
      <c r="F483" s="6"/>
      <c r="G483" s="6"/>
      <c r="H483" s="5"/>
      <c r="I483" s="3"/>
      <c r="J483" s="6"/>
    </row>
    <row r="484" spans="2:10">
      <c r="B484" s="3"/>
      <c r="C484" s="4"/>
      <c r="D484" s="5"/>
      <c r="E484" s="6"/>
      <c r="F484" s="6"/>
      <c r="G484" s="6"/>
      <c r="H484" s="5"/>
      <c r="I484" s="3"/>
      <c r="J484" s="6"/>
    </row>
    <row r="485" spans="2:10">
      <c r="B485" s="3"/>
      <c r="C485" s="4"/>
      <c r="D485" s="5"/>
      <c r="E485" s="6"/>
      <c r="F485" s="6"/>
      <c r="G485" s="6"/>
      <c r="H485" s="5"/>
      <c r="I485" s="3"/>
      <c r="J485" s="6"/>
    </row>
    <row r="486" spans="2:10">
      <c r="B486" s="3"/>
      <c r="C486" s="4"/>
      <c r="D486" s="5"/>
      <c r="E486" s="6"/>
      <c r="F486" s="6"/>
      <c r="G486" s="6"/>
      <c r="H486" s="5"/>
      <c r="I486" s="3"/>
      <c r="J486" s="6"/>
    </row>
    <row r="487" spans="2:10">
      <c r="B487" s="3"/>
      <c r="C487" s="4"/>
      <c r="D487" s="5"/>
      <c r="E487" s="6"/>
      <c r="F487" s="6"/>
      <c r="G487" s="6"/>
      <c r="H487" s="5"/>
      <c r="I487" s="3"/>
      <c r="J487" s="6"/>
    </row>
    <row r="488" spans="2:10">
      <c r="B488" s="3"/>
      <c r="C488" s="4"/>
      <c r="D488" s="5"/>
      <c r="E488" s="6"/>
      <c r="F488" s="6"/>
      <c r="G488" s="6"/>
      <c r="H488" s="5"/>
      <c r="I488" s="3"/>
      <c r="J488" s="6"/>
    </row>
    <row r="489" spans="2:10">
      <c r="B489" s="3"/>
      <c r="C489" s="4"/>
      <c r="D489" s="5"/>
      <c r="E489" s="6"/>
      <c r="F489" s="6"/>
      <c r="G489" s="6"/>
      <c r="H489" s="5"/>
      <c r="I489" s="3"/>
      <c r="J489" s="6"/>
    </row>
    <row r="490" spans="2:10">
      <c r="B490" s="3"/>
      <c r="C490" s="4"/>
      <c r="D490" s="5"/>
      <c r="E490" s="6"/>
      <c r="F490" s="6"/>
      <c r="G490" s="6"/>
      <c r="H490" s="5"/>
      <c r="I490" s="3"/>
      <c r="J490" s="6"/>
    </row>
    <row r="491" spans="2:10">
      <c r="B491" s="3"/>
      <c r="C491" s="4"/>
      <c r="D491" s="5"/>
      <c r="E491" s="6"/>
      <c r="F491" s="6"/>
      <c r="G491" s="6"/>
      <c r="H491" s="5"/>
      <c r="I491" s="3"/>
      <c r="J491" s="6"/>
    </row>
    <row r="492" spans="2:10">
      <c r="B492" s="3"/>
      <c r="C492" s="4"/>
      <c r="D492" s="5"/>
      <c r="E492" s="6"/>
      <c r="F492" s="6"/>
      <c r="G492" s="6"/>
      <c r="H492" s="5"/>
      <c r="I492" s="3"/>
      <c r="J492" s="6"/>
    </row>
    <row r="493" spans="2:10">
      <c r="B493" s="3"/>
      <c r="C493" s="4"/>
      <c r="D493" s="5"/>
      <c r="E493" s="6"/>
      <c r="F493" s="6"/>
      <c r="G493" s="6"/>
      <c r="H493" s="5"/>
      <c r="I493" s="3"/>
      <c r="J493" s="6"/>
    </row>
    <row r="494" spans="2:10">
      <c r="B494" s="3"/>
      <c r="C494" s="4"/>
      <c r="D494" s="5"/>
      <c r="E494" s="6"/>
      <c r="F494" s="6"/>
      <c r="G494" s="6"/>
      <c r="H494" s="5"/>
      <c r="I494" s="3"/>
      <c r="J494" s="6"/>
    </row>
    <row r="495" spans="2:10">
      <c r="B495" s="3"/>
      <c r="C495" s="4"/>
      <c r="D495" s="5"/>
      <c r="E495" s="6"/>
      <c r="F495" s="6"/>
      <c r="G495" s="6"/>
      <c r="H495" s="5"/>
      <c r="I495" s="3"/>
      <c r="J495" s="6"/>
    </row>
    <row r="496" spans="2:10">
      <c r="B496" s="3"/>
      <c r="C496" s="4"/>
      <c r="D496" s="5"/>
      <c r="E496" s="6"/>
      <c r="F496" s="6"/>
      <c r="G496" s="6"/>
      <c r="H496" s="5"/>
      <c r="I496" s="3"/>
      <c r="J496" s="6"/>
    </row>
    <row r="497" spans="2:10">
      <c r="B497" s="3"/>
      <c r="C497" s="4"/>
      <c r="D497" s="5"/>
      <c r="E497" s="6"/>
      <c r="F497" s="6"/>
      <c r="G497" s="6"/>
      <c r="H497" s="5"/>
      <c r="I497" s="3"/>
      <c r="J497" s="6"/>
    </row>
    <row r="498" spans="2:10">
      <c r="B498" s="3"/>
      <c r="C498" s="4"/>
      <c r="D498" s="5"/>
      <c r="E498" s="6"/>
      <c r="F498" s="6"/>
      <c r="G498" s="6"/>
      <c r="H498" s="5"/>
      <c r="I498" s="3"/>
      <c r="J498" s="6"/>
    </row>
    <row r="499" spans="2:10">
      <c r="B499" s="3"/>
      <c r="C499" s="4"/>
      <c r="D499" s="5"/>
      <c r="E499" s="6"/>
      <c r="F499" s="6"/>
      <c r="G499" s="6"/>
      <c r="H499" s="5"/>
      <c r="I499" s="3"/>
      <c r="J499" s="6"/>
    </row>
    <row r="500" spans="2:10">
      <c r="B500" s="3"/>
      <c r="C500" s="4"/>
      <c r="D500" s="5"/>
      <c r="E500" s="6"/>
      <c r="F500" s="6"/>
      <c r="G500" s="6"/>
      <c r="H500" s="5"/>
      <c r="I500" s="3"/>
      <c r="J500" s="6"/>
    </row>
    <row r="501" spans="2:10">
      <c r="B501" s="3"/>
      <c r="C501" s="4"/>
      <c r="D501" s="5"/>
      <c r="E501" s="6"/>
      <c r="F501" s="6"/>
      <c r="G501" s="6"/>
      <c r="H501" s="5"/>
      <c r="I501" s="3"/>
      <c r="J501" s="6"/>
    </row>
    <row r="502" spans="2:10">
      <c r="B502" s="3"/>
      <c r="C502" s="4"/>
      <c r="D502" s="5"/>
      <c r="E502" s="6"/>
      <c r="F502" s="6"/>
      <c r="G502" s="6"/>
      <c r="H502" s="5"/>
      <c r="I502" s="3"/>
      <c r="J502" s="6"/>
    </row>
    <row r="503" spans="2:10">
      <c r="B503" s="3"/>
      <c r="C503" s="4"/>
      <c r="D503" s="5"/>
      <c r="E503" s="6"/>
      <c r="F503" s="6"/>
      <c r="G503" s="6"/>
      <c r="H503" s="5"/>
      <c r="I503" s="3"/>
      <c r="J503" s="6"/>
    </row>
    <row r="504" spans="2:10">
      <c r="B504" s="3"/>
      <c r="C504" s="4"/>
      <c r="D504" s="5"/>
      <c r="E504" s="6"/>
      <c r="F504" s="6"/>
      <c r="G504" s="6"/>
      <c r="H504" s="5"/>
      <c r="I504" s="3"/>
      <c r="J504" s="6"/>
    </row>
    <row r="505" spans="2:10">
      <c r="B505" s="3"/>
      <c r="C505" s="4"/>
      <c r="D505" s="5"/>
      <c r="E505" s="6"/>
      <c r="F505" s="6"/>
      <c r="G505" s="6"/>
      <c r="H505" s="5"/>
      <c r="I505" s="3"/>
      <c r="J505" s="6"/>
    </row>
    <row r="506" spans="2:10">
      <c r="B506" s="3"/>
      <c r="C506" s="4"/>
      <c r="D506" s="5"/>
      <c r="E506" s="6"/>
      <c r="F506" s="6"/>
      <c r="G506" s="6"/>
      <c r="H506" s="5"/>
      <c r="I506" s="3"/>
      <c r="J506" s="6"/>
    </row>
    <row r="507" spans="2:10">
      <c r="B507" s="3"/>
      <c r="C507" s="4"/>
      <c r="D507" s="5"/>
      <c r="E507" s="6"/>
      <c r="F507" s="6"/>
      <c r="G507" s="6"/>
      <c r="H507" s="5"/>
      <c r="I507" s="3"/>
      <c r="J507" s="6"/>
    </row>
    <row r="508" spans="2:10">
      <c r="B508" s="3"/>
      <c r="C508" s="4"/>
      <c r="D508" s="5"/>
      <c r="E508" s="6"/>
      <c r="F508" s="6"/>
      <c r="G508" s="6"/>
      <c r="H508" s="5"/>
      <c r="I508" s="3"/>
      <c r="J508" s="6"/>
    </row>
    <row r="509" spans="2:10">
      <c r="B509" s="3"/>
      <c r="C509" s="4"/>
      <c r="D509" s="5"/>
      <c r="E509" s="6"/>
      <c r="F509" s="6"/>
      <c r="G509" s="6"/>
      <c r="H509" s="5"/>
      <c r="I509" s="3"/>
      <c r="J509" s="6"/>
    </row>
    <row r="510" spans="2:10">
      <c r="B510" s="3"/>
      <c r="C510" s="4"/>
      <c r="D510" s="5"/>
      <c r="E510" s="6"/>
      <c r="F510" s="6"/>
      <c r="G510" s="6"/>
      <c r="H510" s="5"/>
      <c r="I510" s="3"/>
      <c r="J510" s="6"/>
    </row>
    <row r="511" spans="2:10">
      <c r="B511" s="3"/>
      <c r="C511" s="4"/>
      <c r="D511" s="5"/>
      <c r="E511" s="6"/>
      <c r="F511" s="6"/>
      <c r="G511" s="6"/>
      <c r="H511" s="5"/>
      <c r="I511" s="3"/>
      <c r="J511" s="6"/>
    </row>
    <row r="512" spans="2:10">
      <c r="B512" s="3"/>
      <c r="C512" s="4"/>
      <c r="D512" s="5"/>
      <c r="E512" s="6"/>
      <c r="F512" s="6"/>
      <c r="G512" s="6"/>
      <c r="H512" s="5"/>
      <c r="I512" s="3"/>
      <c r="J512" s="6"/>
    </row>
    <row r="513" spans="2:10">
      <c r="B513" s="3"/>
      <c r="C513" s="4"/>
      <c r="D513" s="5"/>
      <c r="E513" s="6"/>
      <c r="F513" s="6"/>
      <c r="G513" s="6"/>
      <c r="H513" s="5"/>
      <c r="I513" s="3"/>
      <c r="J513" s="6"/>
    </row>
    <row r="514" spans="2:10">
      <c r="B514" s="3"/>
      <c r="C514" s="4"/>
      <c r="D514" s="5"/>
      <c r="E514" s="6"/>
      <c r="F514" s="6"/>
      <c r="G514" s="6"/>
      <c r="H514" s="5"/>
      <c r="I514" s="3"/>
      <c r="J514" s="6"/>
    </row>
    <row r="515" spans="2:10">
      <c r="B515" s="3"/>
      <c r="C515" s="4"/>
      <c r="D515" s="5"/>
      <c r="E515" s="6"/>
      <c r="F515" s="6"/>
      <c r="G515" s="6"/>
      <c r="H515" s="5"/>
      <c r="I515" s="3"/>
      <c r="J515" s="6"/>
    </row>
    <row r="516" spans="2:10">
      <c r="B516" s="3"/>
      <c r="C516" s="4"/>
      <c r="D516" s="5"/>
      <c r="E516" s="6"/>
      <c r="F516" s="6"/>
      <c r="G516" s="6"/>
      <c r="H516" s="5"/>
      <c r="I516" s="3"/>
      <c r="J516" s="6"/>
    </row>
    <row r="517" spans="2:10">
      <c r="B517" s="3"/>
      <c r="C517" s="4"/>
      <c r="D517" s="5"/>
      <c r="E517" s="6"/>
      <c r="F517" s="6"/>
      <c r="G517" s="6"/>
      <c r="H517" s="5"/>
      <c r="I517" s="3"/>
      <c r="J517" s="6"/>
    </row>
    <row r="518" spans="2:10">
      <c r="B518" s="3"/>
      <c r="C518" s="4"/>
      <c r="D518" s="5"/>
      <c r="E518" s="6"/>
      <c r="F518" s="6"/>
      <c r="G518" s="6"/>
      <c r="H518" s="5"/>
      <c r="I518" s="3"/>
      <c r="J518" s="6"/>
    </row>
    <row r="519" spans="2:10">
      <c r="B519" s="3"/>
      <c r="C519" s="4"/>
      <c r="D519" s="5"/>
      <c r="E519" s="6"/>
      <c r="F519" s="6"/>
      <c r="G519" s="6"/>
      <c r="H519" s="5"/>
      <c r="I519" s="3"/>
      <c r="J519" s="6"/>
    </row>
    <row r="520" spans="2:10">
      <c r="B520" s="3"/>
      <c r="C520" s="4"/>
      <c r="D520" s="5"/>
      <c r="E520" s="6"/>
      <c r="F520" s="6"/>
      <c r="G520" s="6"/>
      <c r="H520" s="5"/>
      <c r="I520" s="3"/>
      <c r="J520" s="6"/>
    </row>
    <row r="521" spans="2:10">
      <c r="B521" s="3"/>
      <c r="C521" s="4"/>
      <c r="D521" s="5"/>
      <c r="E521" s="6"/>
      <c r="F521" s="6"/>
      <c r="G521" s="6"/>
      <c r="H521" s="5"/>
      <c r="I521" s="3"/>
      <c r="J521" s="6"/>
    </row>
    <row r="522" spans="2:10">
      <c r="B522" s="3"/>
      <c r="C522" s="4"/>
      <c r="D522" s="5"/>
      <c r="E522" s="6"/>
      <c r="F522" s="6"/>
      <c r="G522" s="6"/>
      <c r="H522" s="5"/>
      <c r="I522" s="3"/>
      <c r="J522" s="6"/>
    </row>
    <row r="523" spans="2:10">
      <c r="B523" s="3"/>
      <c r="C523" s="4"/>
      <c r="D523" s="5"/>
      <c r="E523" s="6"/>
      <c r="F523" s="6"/>
      <c r="G523" s="6"/>
      <c r="H523" s="5"/>
      <c r="I523" s="3"/>
      <c r="J523" s="6"/>
    </row>
    <row r="524" spans="2:10">
      <c r="B524" s="3"/>
      <c r="C524" s="4"/>
      <c r="D524" s="5"/>
      <c r="E524" s="6"/>
      <c r="F524" s="6"/>
      <c r="G524" s="6"/>
      <c r="H524" s="5"/>
      <c r="I524" s="3"/>
      <c r="J524" s="6"/>
    </row>
    <row r="525" spans="2:10">
      <c r="B525" s="3"/>
      <c r="C525" s="4"/>
      <c r="D525" s="5"/>
      <c r="E525" s="6"/>
      <c r="F525" s="6"/>
      <c r="G525" s="6"/>
      <c r="H525" s="5"/>
      <c r="I525" s="3"/>
      <c r="J525" s="6"/>
    </row>
    <row r="526" spans="2:10">
      <c r="B526" s="3"/>
      <c r="C526" s="4"/>
      <c r="D526" s="5"/>
      <c r="E526" s="6"/>
      <c r="F526" s="6"/>
      <c r="G526" s="6"/>
      <c r="H526" s="5"/>
      <c r="I526" s="3"/>
      <c r="J526" s="6"/>
    </row>
    <row r="527" spans="2:10">
      <c r="B527" s="3"/>
      <c r="C527" s="4"/>
      <c r="D527" s="5"/>
      <c r="E527" s="6"/>
      <c r="F527" s="6"/>
      <c r="G527" s="6"/>
      <c r="H527" s="5"/>
      <c r="I527" s="3"/>
      <c r="J527" s="6"/>
    </row>
    <row r="528" spans="2:10">
      <c r="B528" s="3"/>
      <c r="C528" s="4"/>
      <c r="D528" s="5"/>
      <c r="E528" s="6"/>
      <c r="F528" s="6"/>
      <c r="G528" s="6"/>
      <c r="H528" s="5"/>
      <c r="I528" s="3"/>
      <c r="J528" s="6"/>
    </row>
    <row r="529" spans="2:10">
      <c r="B529" s="3"/>
      <c r="C529" s="4"/>
      <c r="D529" s="5"/>
      <c r="E529" s="6"/>
      <c r="F529" s="6"/>
      <c r="G529" s="6"/>
      <c r="H529" s="5"/>
      <c r="I529" s="3"/>
      <c r="J529" s="6"/>
    </row>
    <row r="530" spans="2:10">
      <c r="B530" s="3"/>
      <c r="C530" s="4"/>
      <c r="D530" s="5"/>
      <c r="E530" s="6"/>
      <c r="F530" s="6"/>
      <c r="G530" s="6"/>
      <c r="H530" s="5"/>
      <c r="I530" s="3"/>
      <c r="J530" s="6"/>
    </row>
    <row r="531" spans="2:10">
      <c r="B531" s="3"/>
      <c r="C531" s="4"/>
      <c r="D531" s="5"/>
      <c r="E531" s="6"/>
      <c r="F531" s="6"/>
      <c r="G531" s="6"/>
      <c r="H531" s="5"/>
      <c r="I531" s="3"/>
      <c r="J531" s="6"/>
    </row>
    <row r="532" spans="2:10">
      <c r="B532" s="3"/>
      <c r="C532" s="4"/>
      <c r="D532" s="5"/>
      <c r="E532" s="6"/>
      <c r="F532" s="6"/>
      <c r="G532" s="6"/>
      <c r="H532" s="5"/>
      <c r="I532" s="3"/>
      <c r="J532" s="6"/>
    </row>
    <row r="533" spans="2:10">
      <c r="B533" s="3"/>
      <c r="C533" s="4"/>
      <c r="D533" s="5"/>
      <c r="E533" s="6"/>
      <c r="F533" s="6"/>
      <c r="G533" s="6"/>
      <c r="H533" s="5"/>
      <c r="I533" s="3"/>
      <c r="J533" s="6"/>
    </row>
    <row r="534" spans="2:10">
      <c r="B534" s="3"/>
      <c r="C534" s="4"/>
      <c r="D534" s="5"/>
      <c r="E534" s="6"/>
      <c r="F534" s="6"/>
      <c r="G534" s="6"/>
      <c r="H534" s="5"/>
      <c r="I534" s="3"/>
      <c r="J534" s="6"/>
    </row>
    <row r="535" spans="2:10">
      <c r="B535" s="3"/>
      <c r="C535" s="4"/>
      <c r="D535" s="5"/>
      <c r="E535" s="6"/>
      <c r="F535" s="6"/>
      <c r="G535" s="6"/>
      <c r="H535" s="5"/>
      <c r="I535" s="3"/>
      <c r="J535" s="6"/>
    </row>
    <row r="536" spans="2:10">
      <c r="B536" s="3"/>
      <c r="C536" s="4"/>
      <c r="D536" s="5"/>
      <c r="E536" s="6"/>
      <c r="F536" s="6"/>
      <c r="G536" s="6"/>
      <c r="H536" s="5"/>
      <c r="I536" s="3"/>
      <c r="J536" s="6"/>
    </row>
    <row r="537" spans="2:10">
      <c r="B537" s="3"/>
      <c r="C537" s="4"/>
      <c r="D537" s="5"/>
      <c r="E537" s="6"/>
      <c r="F537" s="6"/>
      <c r="G537" s="6"/>
      <c r="H537" s="5"/>
      <c r="I537" s="3"/>
      <c r="J537" s="6"/>
    </row>
    <row r="538" spans="2:10">
      <c r="B538" s="3"/>
      <c r="C538" s="4"/>
      <c r="D538" s="5"/>
      <c r="E538" s="6"/>
      <c r="F538" s="6"/>
      <c r="G538" s="6"/>
      <c r="H538" s="5"/>
      <c r="I538" s="3"/>
      <c r="J538" s="6"/>
    </row>
    <row r="539" spans="2:10">
      <c r="B539" s="3"/>
      <c r="C539" s="4"/>
      <c r="D539" s="5"/>
      <c r="E539" s="6"/>
      <c r="F539" s="6"/>
      <c r="G539" s="6"/>
      <c r="H539" s="5"/>
      <c r="I539" s="3"/>
      <c r="J539" s="6"/>
    </row>
    <row r="540" spans="2:10">
      <c r="B540" s="3"/>
      <c r="C540" s="4"/>
      <c r="D540" s="5"/>
      <c r="E540" s="6"/>
      <c r="F540" s="6"/>
      <c r="G540" s="6"/>
      <c r="H540" s="5"/>
      <c r="I540" s="3"/>
      <c r="J540" s="6"/>
    </row>
    <row r="541" spans="2:10">
      <c r="B541" s="3"/>
      <c r="C541" s="4"/>
      <c r="D541" s="5"/>
      <c r="E541" s="6"/>
      <c r="F541" s="6"/>
      <c r="G541" s="6"/>
      <c r="H541" s="5"/>
      <c r="I541" s="3"/>
      <c r="J541" s="6"/>
    </row>
    <row r="542" spans="2:10">
      <c r="B542" s="3"/>
      <c r="C542" s="4"/>
      <c r="D542" s="5"/>
      <c r="E542" s="6"/>
      <c r="F542" s="6"/>
      <c r="G542" s="6"/>
      <c r="H542" s="5"/>
      <c r="I542" s="3"/>
      <c r="J542" s="6"/>
    </row>
    <row r="543" spans="2:10">
      <c r="B543" s="3"/>
      <c r="C543" s="4"/>
      <c r="D543" s="5"/>
      <c r="E543" s="6"/>
      <c r="F543" s="6"/>
      <c r="G543" s="6"/>
      <c r="H543" s="5"/>
      <c r="I543" s="3"/>
      <c r="J543" s="6"/>
    </row>
    <row r="544" spans="2:10">
      <c r="B544" s="3"/>
      <c r="C544" s="4"/>
      <c r="D544" s="5"/>
      <c r="E544" s="6"/>
      <c r="F544" s="6"/>
      <c r="G544" s="6"/>
      <c r="H544" s="5"/>
      <c r="I544" s="3"/>
      <c r="J544" s="6"/>
    </row>
    <row r="545" spans="2:10">
      <c r="B545" s="3"/>
      <c r="C545" s="4"/>
      <c r="D545" s="5"/>
      <c r="E545" s="6"/>
      <c r="F545" s="6"/>
      <c r="G545" s="6"/>
      <c r="H545" s="5"/>
      <c r="I545" s="3"/>
      <c r="J545" s="6"/>
    </row>
  </sheetData>
  <conditionalFormatting sqref="B8:C307">
    <cfRule type="expression" dxfId="2" priority="3">
      <formula>$I8="Paid"</formula>
    </cfRule>
  </conditionalFormatting>
  <conditionalFormatting sqref="D8:J307 B308:J545">
    <cfRule type="expression" dxfId="1" priority="1">
      <formula>$I8="Paid"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078884-7384-3142-A7E4-FD723A5FC2C3}">
          <x14:formula1>
            <xm:f>Helper!$B$5:$B$6</xm:f>
          </x14:formula1>
          <xm:sqref>I8:I545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3EA-A1E8-714E-969D-923E17309C33}">
  <dimension ref="A1:L22"/>
  <sheetViews>
    <sheetView showGridLines="0" zoomScale="130" zoomScaleNormal="130" workbookViewId="0">
      <selection activeCell="H26" sqref="H26"/>
    </sheetView>
  </sheetViews>
  <sheetFormatPr defaultColWidth="0" defaultRowHeight="15"/>
  <cols>
    <col min="1" max="1" width="3.81640625" customWidth="1"/>
    <col min="2" max="2" width="10.81640625" customWidth="1"/>
    <col min="3" max="3" width="6.81640625" customWidth="1"/>
    <col min="4" max="8" width="15.81640625" customWidth="1"/>
    <col min="9" max="9" width="3.81640625" customWidth="1"/>
    <col min="10" max="12" width="0" hidden="1" customWidth="1"/>
    <col min="13" max="16384" width="10.81640625" hidden="1"/>
  </cols>
  <sheetData>
    <row r="1" spans="2:12" s="12" customFormat="1">
      <c r="F1" s="13"/>
      <c r="G1" s="13"/>
      <c r="H1" s="13"/>
      <c r="L1" s="13"/>
    </row>
    <row r="2" spans="2:12" s="12" customFormat="1" ht="24.6">
      <c r="B2" s="14" t="str">
        <f>projectName</f>
        <v>Loan Amortization Analysis &amp; Tracker</v>
      </c>
      <c r="F2" s="13"/>
      <c r="G2" s="13"/>
      <c r="H2" s="13"/>
      <c r="L2" s="13"/>
    </row>
    <row r="3" spans="2:12" s="12" customFormat="1" ht="17.399999999999999">
      <c r="B3" s="30" t="s">
        <v>42</v>
      </c>
      <c r="F3" s="13"/>
      <c r="G3" s="13"/>
      <c r="H3" s="13"/>
      <c r="L3" s="13"/>
    </row>
    <row r="4" spans="2:12" s="12" customFormat="1">
      <c r="F4" s="13"/>
      <c r="G4" s="13"/>
      <c r="H4" s="13"/>
      <c r="L4" s="13"/>
    </row>
    <row r="6" spans="2:12" ht="15.6">
      <c r="B6" s="17" t="s">
        <v>20</v>
      </c>
      <c r="C6" s="17"/>
      <c r="D6" s="17"/>
      <c r="E6" s="17"/>
      <c r="F6" s="17"/>
      <c r="G6" s="17"/>
      <c r="H6" s="17"/>
    </row>
    <row r="7" spans="2:12" ht="15.6">
      <c r="D7" s="35" t="s">
        <v>18</v>
      </c>
      <c r="E7" s="35"/>
      <c r="F7" s="35"/>
      <c r="G7" s="35"/>
      <c r="H7" s="35"/>
    </row>
    <row r="8" spans="2:12">
      <c r="D8" s="31">
        <f>E8-50000</f>
        <v>150000</v>
      </c>
      <c r="E8" s="31">
        <f>F8-50000</f>
        <v>200000</v>
      </c>
      <c r="F8" s="31">
        <f>_xlfn.SINGLE(principle)</f>
        <v>250000</v>
      </c>
      <c r="G8" s="31">
        <f>F8+50000</f>
        <v>300000</v>
      </c>
      <c r="H8" s="31">
        <f>G8+50000</f>
        <v>350000</v>
      </c>
    </row>
    <row r="9" spans="2:12">
      <c r="B9" s="38" t="s">
        <v>19</v>
      </c>
      <c r="C9" s="32">
        <f>C10+60</f>
        <v>420</v>
      </c>
      <c r="D9" s="22">
        <f t="shared" ref="D9:H13" si="0">PMT(_xlfn.SINGLE(loanInterestRate)/12,$C9,-D$8)</f>
        <v>556.5518739409614</v>
      </c>
      <c r="E9" s="22">
        <f t="shared" si="0"/>
        <v>742.0691652546152</v>
      </c>
      <c r="F9" s="22">
        <f t="shared" si="0"/>
        <v>927.586456568269</v>
      </c>
      <c r="G9" s="22">
        <f t="shared" si="0"/>
        <v>1113.1037478819228</v>
      </c>
      <c r="H9" s="22">
        <f t="shared" si="0"/>
        <v>1298.6210391955767</v>
      </c>
    </row>
    <row r="10" spans="2:12">
      <c r="B10" s="38"/>
      <c r="C10" s="32">
        <f>C11+60</f>
        <v>360</v>
      </c>
      <c r="D10" s="22">
        <f t="shared" si="0"/>
        <v>612.36177149826506</v>
      </c>
      <c r="E10" s="34">
        <f t="shared" si="0"/>
        <v>816.48236199768678</v>
      </c>
      <c r="F10" s="34">
        <f t="shared" si="0"/>
        <v>1020.6029524971085</v>
      </c>
      <c r="G10" s="34">
        <f t="shared" si="0"/>
        <v>1224.7235429965301</v>
      </c>
      <c r="H10" s="22">
        <f t="shared" si="0"/>
        <v>1428.8441334959521</v>
      </c>
    </row>
    <row r="11" spans="2:12">
      <c r="B11" s="38"/>
      <c r="C11" s="32">
        <f>_xlfn.SINGLE(duration)</f>
        <v>300</v>
      </c>
      <c r="D11" s="22">
        <f t="shared" si="0"/>
        <v>691.96628286376529</v>
      </c>
      <c r="E11" s="34">
        <f t="shared" si="0"/>
        <v>922.62171048502046</v>
      </c>
      <c r="F11" s="33">
        <f t="shared" si="0"/>
        <v>1153.2771381062755</v>
      </c>
      <c r="G11" s="34">
        <f t="shared" si="0"/>
        <v>1383.9325657275306</v>
      </c>
      <c r="H11" s="22">
        <f t="shared" si="0"/>
        <v>1614.5879933487859</v>
      </c>
    </row>
    <row r="12" spans="2:12">
      <c r="B12" s="38"/>
      <c r="C12" s="32">
        <f>C11-60</f>
        <v>240</v>
      </c>
      <c r="D12" s="22">
        <f t="shared" si="0"/>
        <v>813.24946003302421</v>
      </c>
      <c r="E12" s="34">
        <f t="shared" si="0"/>
        <v>1084.3326133773658</v>
      </c>
      <c r="F12" s="34">
        <f t="shared" si="0"/>
        <v>1355.4157667217071</v>
      </c>
      <c r="G12" s="34">
        <f t="shared" si="0"/>
        <v>1626.4989200660484</v>
      </c>
      <c r="H12" s="22">
        <f t="shared" si="0"/>
        <v>1897.5820734103897</v>
      </c>
    </row>
    <row r="13" spans="2:12">
      <c r="B13" s="38"/>
      <c r="C13" s="32">
        <f>C12-60</f>
        <v>180</v>
      </c>
      <c r="D13" s="22">
        <f t="shared" si="0"/>
        <v>1017.9324561390126</v>
      </c>
      <c r="E13" s="22">
        <f t="shared" si="0"/>
        <v>1357.2432748520168</v>
      </c>
      <c r="F13" s="22">
        <f t="shared" si="0"/>
        <v>1696.5540935650208</v>
      </c>
      <c r="G13" s="22">
        <f t="shared" si="0"/>
        <v>2035.8649122780253</v>
      </c>
      <c r="H13" s="22">
        <f t="shared" si="0"/>
        <v>2375.1757309910295</v>
      </c>
    </row>
    <row r="15" spans="2:12" ht="15.6">
      <c r="B15" s="17" t="s">
        <v>21</v>
      </c>
      <c r="C15" s="17"/>
      <c r="D15" s="17"/>
      <c r="E15" s="17"/>
      <c r="F15" s="17"/>
      <c r="G15" s="17"/>
      <c r="H15" s="17"/>
    </row>
    <row r="16" spans="2:12" ht="15.6">
      <c r="D16" s="18" t="s">
        <v>18</v>
      </c>
      <c r="E16" s="18"/>
      <c r="F16" s="18"/>
      <c r="G16" s="18"/>
      <c r="H16" s="18"/>
    </row>
    <row r="17" spans="2:8">
      <c r="D17" s="31">
        <f>E17-50000</f>
        <v>150000</v>
      </c>
      <c r="E17" s="31">
        <f>F17-50000</f>
        <v>200000</v>
      </c>
      <c r="F17" s="31">
        <f>_xlfn.SINGLE(principle)</f>
        <v>250000</v>
      </c>
      <c r="G17" s="31">
        <f>F17+50000</f>
        <v>300000</v>
      </c>
      <c r="H17" s="31">
        <f>G17+50000</f>
        <v>350000</v>
      </c>
    </row>
    <row r="18" spans="2:8">
      <c r="B18" s="38" t="s">
        <v>22</v>
      </c>
      <c r="C18" s="24">
        <f>C19-0.0025</f>
        <v>2.2500000000000003E-2</v>
      </c>
      <c r="D18" s="22">
        <f t="shared" ref="D18:H22" si="1">PMT($C18/12,_xlfn.SINGLE(duration),-D$17)</f>
        <v>654.19604267846978</v>
      </c>
      <c r="E18" s="22">
        <f t="shared" si="1"/>
        <v>872.26139023795974</v>
      </c>
      <c r="F18" s="22">
        <f t="shared" si="1"/>
        <v>1090.3267377974496</v>
      </c>
      <c r="G18" s="22">
        <f t="shared" si="1"/>
        <v>1308.3920853569396</v>
      </c>
      <c r="H18" s="22">
        <f t="shared" si="1"/>
        <v>1526.4574329164295</v>
      </c>
    </row>
    <row r="19" spans="2:8">
      <c r="B19" s="38"/>
      <c r="C19" s="24">
        <f>C20-0.0025</f>
        <v>2.5000000000000001E-2</v>
      </c>
      <c r="D19" s="22">
        <f t="shared" si="1"/>
        <v>672.92510111493016</v>
      </c>
      <c r="E19" s="34">
        <f t="shared" si="1"/>
        <v>897.23346815324021</v>
      </c>
      <c r="F19" s="34">
        <f t="shared" si="1"/>
        <v>1121.5418351915503</v>
      </c>
      <c r="G19" s="34">
        <f t="shared" si="1"/>
        <v>1345.8502022298603</v>
      </c>
      <c r="H19" s="22">
        <f t="shared" si="1"/>
        <v>1570.1585692681704</v>
      </c>
    </row>
    <row r="20" spans="2:8">
      <c r="B20" s="38"/>
      <c r="C20" s="24">
        <f>_xlfn.SINGLE(loanInterestRate)</f>
        <v>2.75E-2</v>
      </c>
      <c r="D20" s="22">
        <f t="shared" si="1"/>
        <v>691.96628286376529</v>
      </c>
      <c r="E20" s="34">
        <f t="shared" si="1"/>
        <v>922.62171048502046</v>
      </c>
      <c r="F20" s="33">
        <f t="shared" si="1"/>
        <v>1153.2771381062755</v>
      </c>
      <c r="G20" s="34">
        <f t="shared" si="1"/>
        <v>1383.9325657275306</v>
      </c>
      <c r="H20" s="22">
        <f t="shared" si="1"/>
        <v>1614.5879933487859</v>
      </c>
    </row>
    <row r="21" spans="2:8">
      <c r="B21" s="38"/>
      <c r="C21" s="24">
        <f>C20+0.0025</f>
        <v>0.03</v>
      </c>
      <c r="D21" s="22">
        <f t="shared" si="1"/>
        <v>711.31697078650961</v>
      </c>
      <c r="E21" s="34">
        <f t="shared" si="1"/>
        <v>948.42262771534604</v>
      </c>
      <c r="F21" s="34">
        <f t="shared" si="1"/>
        <v>1185.5282846441826</v>
      </c>
      <c r="G21" s="34">
        <f t="shared" si="1"/>
        <v>1422.6339415730192</v>
      </c>
      <c r="H21" s="22">
        <f t="shared" si="1"/>
        <v>1659.7395985018559</v>
      </c>
    </row>
    <row r="22" spans="2:8">
      <c r="B22" s="38"/>
      <c r="C22" s="24">
        <f>C21+0.0025</f>
        <v>3.2500000000000001E-2</v>
      </c>
      <c r="D22" s="22">
        <f t="shared" si="1"/>
        <v>730.9743380099975</v>
      </c>
      <c r="E22" s="22">
        <f t="shared" si="1"/>
        <v>974.63245067999651</v>
      </c>
      <c r="F22" s="22">
        <f t="shared" si="1"/>
        <v>1218.2905633499959</v>
      </c>
      <c r="G22" s="22">
        <f t="shared" si="1"/>
        <v>1461.948676019995</v>
      </c>
      <c r="H22" s="22">
        <f t="shared" si="1"/>
        <v>1705.6067886899941</v>
      </c>
    </row>
  </sheetData>
  <mergeCells count="2">
    <mergeCell ref="B9:B13"/>
    <mergeCell ref="B18:B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2CDB-E3CA-C748-9178-7B588FC18443}">
  <dimension ref="B1:P515"/>
  <sheetViews>
    <sheetView showGridLines="0" zoomScale="120" zoomScaleNormal="120" workbookViewId="0">
      <selection activeCell="H11" sqref="H11"/>
    </sheetView>
  </sheetViews>
  <sheetFormatPr defaultColWidth="10.90625" defaultRowHeight="15"/>
  <cols>
    <col min="1" max="1" width="3.81640625" customWidth="1"/>
    <col min="2" max="2" width="15.81640625" style="29" customWidth="1"/>
    <col min="3" max="3" width="15.81640625" style="25" customWidth="1"/>
  </cols>
  <sheetData>
    <row r="1" spans="2:16" s="12" customFormat="1">
      <c r="F1" s="13"/>
      <c r="G1" s="13"/>
      <c r="H1" s="13"/>
      <c r="L1" s="13"/>
    </row>
    <row r="2" spans="2:16" s="12" customFormat="1" ht="24.6">
      <c r="B2" s="14" t="str">
        <f>projectName</f>
        <v>Loan Amortization Analysis &amp; Tracker</v>
      </c>
      <c r="F2" s="13"/>
      <c r="G2" s="13"/>
      <c r="H2" s="13"/>
      <c r="L2" s="13"/>
    </row>
    <row r="3" spans="2:16" s="12" customFormat="1" ht="17.399999999999999">
      <c r="B3" s="30" t="s">
        <v>40</v>
      </c>
      <c r="F3" s="13"/>
      <c r="G3" s="13"/>
      <c r="H3" s="13"/>
      <c r="L3" s="13"/>
    </row>
    <row r="4" spans="2:16" s="12" customFormat="1">
      <c r="F4" s="13"/>
      <c r="G4" s="13"/>
      <c r="H4" s="13"/>
      <c r="L4" s="13"/>
    </row>
    <row r="5" spans="2:16">
      <c r="B5"/>
      <c r="C5"/>
    </row>
    <row r="6" spans="2:16" ht="15.6">
      <c r="B6" s="21" t="s">
        <v>37</v>
      </c>
      <c r="C6" s="24">
        <f>XIRR($C$10:INDEX($C:$C,11+duration),$B$10:INDEX($B:$B,11+duration))</f>
        <v>3.3763518929481526E-2</v>
      </c>
    </row>
    <row r="7" spans="2:16" ht="15.6">
      <c r="B7" s="21" t="s">
        <v>38</v>
      </c>
      <c r="C7" s="25">
        <f>XNPV(discountRate,$C$10:INDEX($C:$C,11+duration),$B$10:INDEX($B:$B,11+duration))</f>
        <v>55554.102789263299</v>
      </c>
    </row>
    <row r="8" spans="2:16">
      <c r="B8"/>
      <c r="C8"/>
    </row>
    <row r="9" spans="2:16" ht="15.6">
      <c r="B9" s="37" t="s">
        <v>36</v>
      </c>
      <c r="C9" s="37" t="s">
        <v>45</v>
      </c>
    </row>
    <row r="10" spans="2:16">
      <c r="B10" s="29">
        <f>loanDisbursementDate</f>
        <v>45550</v>
      </c>
      <c r="C10" s="25">
        <f>_xlfn.SINGLE(principle)</f>
        <v>250000</v>
      </c>
      <c r="N10" s="27"/>
      <c r="P10" s="28"/>
    </row>
    <row r="11" spans="2:16">
      <c r="B11" s="29">
        <f>loanDisbursementDate</f>
        <v>45550</v>
      </c>
      <c r="C11" s="25">
        <f>-upfrontFee</f>
        <v>-3500</v>
      </c>
      <c r="N11" s="27"/>
      <c r="P11" s="28"/>
    </row>
    <row r="12" spans="2:16">
      <c r="B12" s="29" cm="1">
        <f t="array" ref="B12">IFERROR(INDEX(amort_table_1[Due date],ROW()-11),"")</f>
        <v>45570</v>
      </c>
      <c r="C12" s="25" cm="1">
        <f t="array" ref="C12">IF(B12="","",-(INDEX(amort_table_1[Total EMI], ROW()-11)))</f>
        <v>-1210.1571381062756</v>
      </c>
      <c r="N12" s="27"/>
    </row>
    <row r="13" spans="2:16">
      <c r="B13" s="29" cm="1">
        <f t="array" ref="B13">IFERROR(INDEX(amort_table_1[Due date],ROW()-11),"")</f>
        <v>45601</v>
      </c>
      <c r="C13" s="25" cm="1">
        <f t="array" ref="C13">IF(B13="","",-(INDEX(amort_table_1[Total EMI], ROW()-11)))</f>
        <v>-1210.1571381062756</v>
      </c>
      <c r="N13" s="27"/>
    </row>
    <row r="14" spans="2:16">
      <c r="B14" s="29" cm="1">
        <f t="array" ref="B14">IFERROR(INDEX(amort_table_1[Due date],ROW()-11),"")</f>
        <v>45631</v>
      </c>
      <c r="C14" s="25" cm="1">
        <f t="array" ref="C14">IF(B14="","",-(INDEX(amort_table_1[Total EMI], ROW()-11)))</f>
        <v>-1210.1571381062756</v>
      </c>
      <c r="N14" s="27"/>
    </row>
    <row r="15" spans="2:16">
      <c r="B15" s="29" cm="1">
        <f t="array" ref="B15">IFERROR(INDEX(amort_table_1[Due date],ROW()-11),"")</f>
        <v>45662</v>
      </c>
      <c r="C15" s="25" cm="1">
        <f t="array" ref="C15">IF(B15="","",-(INDEX(amort_table_1[Total EMI], ROW()-11)))</f>
        <v>-1210.1571381062756</v>
      </c>
      <c r="N15" s="27"/>
    </row>
    <row r="16" spans="2:16">
      <c r="B16" s="29" cm="1">
        <f t="array" ref="B16">IFERROR(INDEX(amort_table_1[Due date],ROW()-11),"")</f>
        <v>45693</v>
      </c>
      <c r="C16" s="25" cm="1">
        <f t="array" ref="C16">IF(B16="","",-(INDEX(amort_table_1[Total EMI], ROW()-11)))</f>
        <v>-1210.1571381062756</v>
      </c>
    </row>
    <row r="17" spans="2:3">
      <c r="B17" s="29" cm="1">
        <f t="array" ref="B17">IFERROR(INDEX(amort_table_1[Due date],ROW()-11),"")</f>
        <v>45721</v>
      </c>
      <c r="C17" s="25" cm="1">
        <f t="array" ref="C17">IF(B17="","",-(INDEX(amort_table_1[Total EMI], ROW()-11)))</f>
        <v>-1210.1571381062756</v>
      </c>
    </row>
    <row r="18" spans="2:3">
      <c r="B18" s="29" cm="1">
        <f t="array" ref="B18">IFERROR(INDEX(amort_table_1[Due date],ROW()-11),"")</f>
        <v>45752</v>
      </c>
      <c r="C18" s="25" cm="1">
        <f t="array" ref="C18">IF(B18="","",-(INDEX(amort_table_1[Total EMI], ROW()-11)))</f>
        <v>-1210.1571381062756</v>
      </c>
    </row>
    <row r="19" spans="2:3">
      <c r="B19" s="29" cm="1">
        <f t="array" ref="B19">IFERROR(INDEX(amort_table_1[Due date],ROW()-11),"")</f>
        <v>45782</v>
      </c>
      <c r="C19" s="25" cm="1">
        <f t="array" ref="C19">IF(B19="","",-(INDEX(amort_table_1[Total EMI], ROW()-11)))</f>
        <v>-1210.1571381062756</v>
      </c>
    </row>
    <row r="20" spans="2:3">
      <c r="B20" s="29" cm="1">
        <f t="array" ref="B20">IFERROR(INDEX(amort_table_1[Due date],ROW()-11),"")</f>
        <v>45813</v>
      </c>
      <c r="C20" s="25" cm="1">
        <f t="array" ref="C20">IF(B20="","",-(INDEX(amort_table_1[Total EMI], ROW()-11)))</f>
        <v>-1210.1571381062756</v>
      </c>
    </row>
    <row r="21" spans="2:3">
      <c r="B21" s="29" cm="1">
        <f t="array" ref="B21">IFERROR(INDEX(amort_table_1[Due date],ROW()-11),"")</f>
        <v>45843</v>
      </c>
      <c r="C21" s="25" cm="1">
        <f t="array" ref="C21">IF(B21="","",-(INDEX(amort_table_1[Total EMI], ROW()-11)))</f>
        <v>-1210.1571381062756</v>
      </c>
    </row>
    <row r="22" spans="2:3">
      <c r="B22" s="29" cm="1">
        <f t="array" ref="B22">IFERROR(INDEX(amort_table_1[Due date],ROW()-11),"")</f>
        <v>45874</v>
      </c>
      <c r="C22" s="25" cm="1">
        <f t="array" ref="C22">IF(B22="","",-(INDEX(amort_table_1[Total EMI], ROW()-11)))</f>
        <v>-1210.1571381062756</v>
      </c>
    </row>
    <row r="23" spans="2:3">
      <c r="B23" s="29" cm="1">
        <f t="array" ref="B23">IFERROR(INDEX(amort_table_1[Due date],ROW()-11),"")</f>
        <v>45905</v>
      </c>
      <c r="C23" s="25" cm="1">
        <f t="array" ref="C23">IF(B23="","",-(INDEX(amort_table_1[Total EMI], ROW()-11)))</f>
        <v>-1210.1571381062756</v>
      </c>
    </row>
    <row r="24" spans="2:3">
      <c r="B24" s="29" cm="1">
        <f t="array" ref="B24">IFERROR(INDEX(amort_table_1[Due date],ROW()-11),"")</f>
        <v>45935</v>
      </c>
      <c r="C24" s="25" cm="1">
        <f t="array" ref="C24">IF(B24="","",-(INDEX(amort_table_1[Total EMI], ROW()-11)))</f>
        <v>-1210.1571381062756</v>
      </c>
    </row>
    <row r="25" spans="2:3">
      <c r="B25" s="29" cm="1">
        <f t="array" ref="B25">IFERROR(INDEX(amort_table_1[Due date],ROW()-11),"")</f>
        <v>45966</v>
      </c>
      <c r="C25" s="25" cm="1">
        <f t="array" ref="C25">IF(B25="","",-(INDEX(amort_table_1[Total EMI], ROW()-11)))</f>
        <v>-1210.1571381062756</v>
      </c>
    </row>
    <row r="26" spans="2:3">
      <c r="B26" s="29" cm="1">
        <f t="array" ref="B26">IFERROR(INDEX(amort_table_1[Due date],ROW()-11),"")</f>
        <v>45996</v>
      </c>
      <c r="C26" s="25" cm="1">
        <f t="array" ref="C26">IF(B26="","",-(INDEX(amort_table_1[Total EMI], ROW()-11)))</f>
        <v>-1210.1571381062756</v>
      </c>
    </row>
    <row r="27" spans="2:3">
      <c r="B27" s="29" cm="1">
        <f t="array" ref="B27">IFERROR(INDEX(amort_table_1[Due date],ROW()-11),"")</f>
        <v>46027</v>
      </c>
      <c r="C27" s="25" cm="1">
        <f t="array" ref="C27">IF(B27="","",-(INDEX(amort_table_1[Total EMI], ROW()-11)))</f>
        <v>-1210.1571381062756</v>
      </c>
    </row>
    <row r="28" spans="2:3">
      <c r="B28" s="29" cm="1">
        <f t="array" ref="B28">IFERROR(INDEX(amort_table_1[Due date],ROW()-11),"")</f>
        <v>46058</v>
      </c>
      <c r="C28" s="25" cm="1">
        <f t="array" ref="C28">IF(B28="","",-(INDEX(amort_table_1[Total EMI], ROW()-11)))</f>
        <v>-1210.1571381062756</v>
      </c>
    </row>
    <row r="29" spans="2:3">
      <c r="B29" s="29" cm="1">
        <f t="array" ref="B29">IFERROR(INDEX(amort_table_1[Due date],ROW()-11),"")</f>
        <v>46086</v>
      </c>
      <c r="C29" s="25" cm="1">
        <f t="array" ref="C29">IF(B29="","",-(INDEX(amort_table_1[Total EMI], ROW()-11)))</f>
        <v>-1210.1571381062756</v>
      </c>
    </row>
    <row r="30" spans="2:3">
      <c r="B30" s="29" cm="1">
        <f t="array" ref="B30">IFERROR(INDEX(amort_table_1[Due date],ROW()-11),"")</f>
        <v>46117</v>
      </c>
      <c r="C30" s="25" cm="1">
        <f t="array" ref="C30">IF(B30="","",-(INDEX(amort_table_1[Total EMI], ROW()-11)))</f>
        <v>-1210.1571381062756</v>
      </c>
    </row>
    <row r="31" spans="2:3">
      <c r="B31" s="29" cm="1">
        <f t="array" ref="B31">IFERROR(INDEX(amort_table_1[Due date],ROW()-11),"")</f>
        <v>46147</v>
      </c>
      <c r="C31" s="25" cm="1">
        <f t="array" ref="C31">IF(B31="","",-(INDEX(amort_table_1[Total EMI], ROW()-11)))</f>
        <v>-1210.1571381062756</v>
      </c>
    </row>
    <row r="32" spans="2:3">
      <c r="B32" s="29" cm="1">
        <f t="array" ref="B32">IFERROR(INDEX(amort_table_1[Due date],ROW()-11),"")</f>
        <v>46178</v>
      </c>
      <c r="C32" s="25" cm="1">
        <f t="array" ref="C32">IF(B32="","",-(INDEX(amort_table_1[Total EMI], ROW()-11)))</f>
        <v>-1210.1571381062756</v>
      </c>
    </row>
    <row r="33" spans="2:3">
      <c r="B33" s="29" cm="1">
        <f t="array" ref="B33">IFERROR(INDEX(amort_table_1[Due date],ROW()-11),"")</f>
        <v>46208</v>
      </c>
      <c r="C33" s="25" cm="1">
        <f t="array" ref="C33">IF(B33="","",-(INDEX(amort_table_1[Total EMI], ROW()-11)))</f>
        <v>-1210.1571381062756</v>
      </c>
    </row>
    <row r="34" spans="2:3">
      <c r="B34" s="29" cm="1">
        <f t="array" ref="B34">IFERROR(INDEX(amort_table_1[Due date],ROW()-11),"")</f>
        <v>46239</v>
      </c>
      <c r="C34" s="25" cm="1">
        <f t="array" ref="C34">IF(B34="","",-(INDEX(amort_table_1[Total EMI], ROW()-11)))</f>
        <v>-1210.1571381062756</v>
      </c>
    </row>
    <row r="35" spans="2:3">
      <c r="B35" s="29" cm="1">
        <f t="array" ref="B35">IFERROR(INDEX(amort_table_1[Due date],ROW()-11),"")</f>
        <v>46270</v>
      </c>
      <c r="C35" s="25" cm="1">
        <f t="array" ref="C35">IF(B35="","",-(INDEX(amort_table_1[Total EMI], ROW()-11)))</f>
        <v>-1210.1571381062756</v>
      </c>
    </row>
    <row r="36" spans="2:3">
      <c r="B36" s="29" cm="1">
        <f t="array" ref="B36">IFERROR(INDEX(amort_table_1[Due date],ROW()-11),"")</f>
        <v>46300</v>
      </c>
      <c r="C36" s="25" cm="1">
        <f t="array" ref="C36">IF(B36="","",-(INDEX(amort_table_1[Total EMI], ROW()-11)))</f>
        <v>-1210.1571381062756</v>
      </c>
    </row>
    <row r="37" spans="2:3">
      <c r="B37" s="29" cm="1">
        <f t="array" ref="B37">IFERROR(INDEX(amort_table_1[Due date],ROW()-11),"")</f>
        <v>46331</v>
      </c>
      <c r="C37" s="25" cm="1">
        <f t="array" ref="C37">IF(B37="","",-(INDEX(amort_table_1[Total EMI], ROW()-11)))</f>
        <v>-1210.1571381062756</v>
      </c>
    </row>
    <row r="38" spans="2:3">
      <c r="B38" s="29" cm="1">
        <f t="array" ref="B38">IFERROR(INDEX(amort_table_1[Due date],ROW()-11),"")</f>
        <v>46361</v>
      </c>
      <c r="C38" s="25" cm="1">
        <f t="array" ref="C38">IF(B38="","",-(INDEX(amort_table_1[Total EMI], ROW()-11)))</f>
        <v>-1210.1571381062756</v>
      </c>
    </row>
    <row r="39" spans="2:3">
      <c r="B39" s="29" cm="1">
        <f t="array" ref="B39">IFERROR(INDEX(amort_table_1[Due date],ROW()-11),"")</f>
        <v>46392</v>
      </c>
      <c r="C39" s="25" cm="1">
        <f t="array" ref="C39">IF(B39="","",-(INDEX(amort_table_1[Total EMI], ROW()-11)))</f>
        <v>-1210.1571381062756</v>
      </c>
    </row>
    <row r="40" spans="2:3">
      <c r="B40" s="29" cm="1">
        <f t="array" ref="B40">IFERROR(INDEX(amort_table_1[Due date],ROW()-11),"")</f>
        <v>46423</v>
      </c>
      <c r="C40" s="25" cm="1">
        <f t="array" ref="C40">IF(B40="","",-(INDEX(amort_table_1[Total EMI], ROW()-11)))</f>
        <v>-1210.1571381062756</v>
      </c>
    </row>
    <row r="41" spans="2:3">
      <c r="B41" s="29" cm="1">
        <f t="array" ref="B41">IFERROR(INDEX(amort_table_1[Due date],ROW()-11),"")</f>
        <v>46451</v>
      </c>
      <c r="C41" s="25" cm="1">
        <f t="array" ref="C41">IF(B41="","",-(INDEX(amort_table_1[Total EMI], ROW()-11)))</f>
        <v>-1210.1571381062756</v>
      </c>
    </row>
    <row r="42" spans="2:3">
      <c r="B42" s="29" cm="1">
        <f t="array" ref="B42">IFERROR(INDEX(amort_table_1[Due date],ROW()-11),"")</f>
        <v>46482</v>
      </c>
      <c r="C42" s="25" cm="1">
        <f t="array" ref="C42">IF(B42="","",-(INDEX(amort_table_1[Total EMI], ROW()-11)))</f>
        <v>-1210.1571381062756</v>
      </c>
    </row>
    <row r="43" spans="2:3">
      <c r="B43" s="29" cm="1">
        <f t="array" ref="B43">IFERROR(INDEX(amort_table_1[Due date],ROW()-11),"")</f>
        <v>46512</v>
      </c>
      <c r="C43" s="25" cm="1">
        <f t="array" ref="C43">IF(B43="","",-(INDEX(amort_table_1[Total EMI], ROW()-11)))</f>
        <v>-1210.1571381062756</v>
      </c>
    </row>
    <row r="44" spans="2:3">
      <c r="B44" s="29" cm="1">
        <f t="array" ref="B44">IFERROR(INDEX(amort_table_1[Due date],ROW()-11),"")</f>
        <v>46543</v>
      </c>
      <c r="C44" s="25" cm="1">
        <f t="array" ref="C44">IF(B44="","",-(INDEX(amort_table_1[Total EMI], ROW()-11)))</f>
        <v>-1210.1571381062756</v>
      </c>
    </row>
    <row r="45" spans="2:3">
      <c r="B45" s="29" cm="1">
        <f t="array" ref="B45">IFERROR(INDEX(amort_table_1[Due date],ROW()-11),"")</f>
        <v>46573</v>
      </c>
      <c r="C45" s="25" cm="1">
        <f t="array" ref="C45">IF(B45="","",-(INDEX(amort_table_1[Total EMI], ROW()-11)))</f>
        <v>-1210.1571381062756</v>
      </c>
    </row>
    <row r="46" spans="2:3">
      <c r="B46" s="29" cm="1">
        <f t="array" ref="B46">IFERROR(INDEX(amort_table_1[Due date],ROW()-11),"")</f>
        <v>46604</v>
      </c>
      <c r="C46" s="25" cm="1">
        <f t="array" ref="C46">IF(B46="","",-(INDEX(amort_table_1[Total EMI], ROW()-11)))</f>
        <v>-1210.1571381062756</v>
      </c>
    </row>
    <row r="47" spans="2:3">
      <c r="B47" s="29" cm="1">
        <f t="array" ref="B47">IFERROR(INDEX(amort_table_1[Due date],ROW()-11),"")</f>
        <v>46635</v>
      </c>
      <c r="C47" s="25" cm="1">
        <f t="array" ref="C47">IF(B47="","",-(INDEX(amort_table_1[Total EMI], ROW()-11)))</f>
        <v>-1210.1571381062756</v>
      </c>
    </row>
    <row r="48" spans="2:3">
      <c r="B48" s="29" cm="1">
        <f t="array" ref="B48">IFERROR(INDEX(amort_table_1[Due date],ROW()-11),"")</f>
        <v>46665</v>
      </c>
      <c r="C48" s="25" cm="1">
        <f t="array" ref="C48">IF(B48="","",-(INDEX(amort_table_1[Total EMI], ROW()-11)))</f>
        <v>-1210.1571381062756</v>
      </c>
    </row>
    <row r="49" spans="2:3">
      <c r="B49" s="29" cm="1">
        <f t="array" ref="B49">IFERROR(INDEX(amort_table_1[Due date],ROW()-11),"")</f>
        <v>46696</v>
      </c>
      <c r="C49" s="25" cm="1">
        <f t="array" ref="C49">IF(B49="","",-(INDEX(amort_table_1[Total EMI], ROW()-11)))</f>
        <v>-1210.1571381062756</v>
      </c>
    </row>
    <row r="50" spans="2:3">
      <c r="B50" s="29" cm="1">
        <f t="array" ref="B50">IFERROR(INDEX(amort_table_1[Due date],ROW()-11),"")</f>
        <v>46726</v>
      </c>
      <c r="C50" s="25" cm="1">
        <f t="array" ref="C50">IF(B50="","",-(INDEX(amort_table_1[Total EMI], ROW()-11)))</f>
        <v>-1210.1571381062756</v>
      </c>
    </row>
    <row r="51" spans="2:3">
      <c r="B51" s="29" cm="1">
        <f t="array" ref="B51">IFERROR(INDEX(amort_table_1[Due date],ROW()-11),"")</f>
        <v>46757</v>
      </c>
      <c r="C51" s="25" cm="1">
        <f t="array" ref="C51">IF(B51="","",-(INDEX(amort_table_1[Total EMI], ROW()-11)))</f>
        <v>-1210.1571381062756</v>
      </c>
    </row>
    <row r="52" spans="2:3">
      <c r="B52" s="29" cm="1">
        <f t="array" ref="B52">IFERROR(INDEX(amort_table_1[Due date],ROW()-11),"")</f>
        <v>46788</v>
      </c>
      <c r="C52" s="25" cm="1">
        <f t="array" ref="C52">IF(B52="","",-(INDEX(amort_table_1[Total EMI], ROW()-11)))</f>
        <v>-1210.1571381062756</v>
      </c>
    </row>
    <row r="53" spans="2:3">
      <c r="B53" s="29" cm="1">
        <f t="array" ref="B53">IFERROR(INDEX(amort_table_1[Due date],ROW()-11),"")</f>
        <v>46817</v>
      </c>
      <c r="C53" s="25" cm="1">
        <f t="array" ref="C53">IF(B53="","",-(INDEX(amort_table_1[Total EMI], ROW()-11)))</f>
        <v>-1210.1571381062756</v>
      </c>
    </row>
    <row r="54" spans="2:3">
      <c r="B54" s="29" cm="1">
        <f t="array" ref="B54">IFERROR(INDEX(amort_table_1[Due date],ROW()-11),"")</f>
        <v>46848</v>
      </c>
      <c r="C54" s="25" cm="1">
        <f t="array" ref="C54">IF(B54="","",-(INDEX(amort_table_1[Total EMI], ROW()-11)))</f>
        <v>-1210.1571381062756</v>
      </c>
    </row>
    <row r="55" spans="2:3">
      <c r="B55" s="29" cm="1">
        <f t="array" ref="B55">IFERROR(INDEX(amort_table_1[Due date],ROW()-11),"")</f>
        <v>46878</v>
      </c>
      <c r="C55" s="25" cm="1">
        <f t="array" ref="C55">IF(B55="","",-(INDEX(amort_table_1[Total EMI], ROW()-11)))</f>
        <v>-1210.1571381062756</v>
      </c>
    </row>
    <row r="56" spans="2:3">
      <c r="B56" s="29" cm="1">
        <f t="array" ref="B56">IFERROR(INDEX(amort_table_1[Due date],ROW()-11),"")</f>
        <v>46909</v>
      </c>
      <c r="C56" s="25" cm="1">
        <f t="array" ref="C56">IF(B56="","",-(INDEX(amort_table_1[Total EMI], ROW()-11)))</f>
        <v>-1210.1571381062756</v>
      </c>
    </row>
    <row r="57" spans="2:3">
      <c r="B57" s="29" cm="1">
        <f t="array" ref="B57">IFERROR(INDEX(amort_table_1[Due date],ROW()-11),"")</f>
        <v>46939</v>
      </c>
      <c r="C57" s="25" cm="1">
        <f t="array" ref="C57">IF(B57="","",-(INDEX(amort_table_1[Total EMI], ROW()-11)))</f>
        <v>-1210.1571381062756</v>
      </c>
    </row>
    <row r="58" spans="2:3">
      <c r="B58" s="29" cm="1">
        <f t="array" ref="B58">IFERROR(INDEX(amort_table_1[Due date],ROW()-11),"")</f>
        <v>46970</v>
      </c>
      <c r="C58" s="25" cm="1">
        <f t="array" ref="C58">IF(B58="","",-(INDEX(amort_table_1[Total EMI], ROW()-11)))</f>
        <v>-1210.1571381062756</v>
      </c>
    </row>
    <row r="59" spans="2:3">
      <c r="B59" s="29" cm="1">
        <f t="array" ref="B59">IFERROR(INDEX(amort_table_1[Due date],ROW()-11),"")</f>
        <v>47001</v>
      </c>
      <c r="C59" s="25" cm="1">
        <f t="array" ref="C59">IF(B59="","",-(INDEX(amort_table_1[Total EMI], ROW()-11)))</f>
        <v>-1210.1571381062756</v>
      </c>
    </row>
    <row r="60" spans="2:3">
      <c r="B60" s="29" cm="1">
        <f t="array" ref="B60">IFERROR(INDEX(amort_table_1[Due date],ROW()-11),"")</f>
        <v>47031</v>
      </c>
      <c r="C60" s="25" cm="1">
        <f t="array" ref="C60">IF(B60="","",-(INDEX(amort_table_1[Total EMI], ROW()-11)))</f>
        <v>-1210.1571381062756</v>
      </c>
    </row>
    <row r="61" spans="2:3">
      <c r="B61" s="29" cm="1">
        <f t="array" ref="B61">IFERROR(INDEX(amort_table_1[Due date],ROW()-11),"")</f>
        <v>47062</v>
      </c>
      <c r="C61" s="25" cm="1">
        <f t="array" ref="C61">IF(B61="","",-(INDEX(amort_table_1[Total EMI], ROW()-11)))</f>
        <v>-1210.1571381062756</v>
      </c>
    </row>
    <row r="62" spans="2:3">
      <c r="B62" s="29" cm="1">
        <f t="array" ref="B62">IFERROR(INDEX(amort_table_1[Due date],ROW()-11),"")</f>
        <v>47092</v>
      </c>
      <c r="C62" s="25" cm="1">
        <f t="array" ref="C62">IF(B62="","",-(INDEX(amort_table_1[Total EMI], ROW()-11)))</f>
        <v>-1210.1571381062756</v>
      </c>
    </row>
    <row r="63" spans="2:3">
      <c r="B63" s="29" cm="1">
        <f t="array" ref="B63">IFERROR(INDEX(amort_table_1[Due date],ROW()-11),"")</f>
        <v>47123</v>
      </c>
      <c r="C63" s="25" cm="1">
        <f t="array" ref="C63">IF(B63="","",-(INDEX(amort_table_1[Total EMI], ROW()-11)))</f>
        <v>-1210.1571381062756</v>
      </c>
    </row>
    <row r="64" spans="2:3">
      <c r="B64" s="29" cm="1">
        <f t="array" ref="B64">IFERROR(INDEX(amort_table_1[Due date],ROW()-11),"")</f>
        <v>47154</v>
      </c>
      <c r="C64" s="25" cm="1">
        <f t="array" ref="C64">IF(B64="","",-(INDEX(amort_table_1[Total EMI], ROW()-11)))</f>
        <v>-1210.1571381062756</v>
      </c>
    </row>
    <row r="65" spans="2:3">
      <c r="B65" s="29" cm="1">
        <f t="array" ref="B65">IFERROR(INDEX(amort_table_1[Due date],ROW()-11),"")</f>
        <v>47182</v>
      </c>
      <c r="C65" s="25" cm="1">
        <f t="array" ref="C65">IF(B65="","",-(INDEX(amort_table_1[Total EMI], ROW()-11)))</f>
        <v>-1210.1571381062756</v>
      </c>
    </row>
    <row r="66" spans="2:3">
      <c r="B66" s="29" cm="1">
        <f t="array" ref="B66">IFERROR(INDEX(amort_table_1[Due date],ROW()-11),"")</f>
        <v>47213</v>
      </c>
      <c r="C66" s="25" cm="1">
        <f t="array" ref="C66">IF(B66="","",-(INDEX(amort_table_1[Total EMI], ROW()-11)))</f>
        <v>-1210.1571381062756</v>
      </c>
    </row>
    <row r="67" spans="2:3">
      <c r="B67" s="29" cm="1">
        <f t="array" ref="B67">IFERROR(INDEX(amort_table_1[Due date],ROW()-11),"")</f>
        <v>47243</v>
      </c>
      <c r="C67" s="25" cm="1">
        <f t="array" ref="C67">IF(B67="","",-(INDEX(amort_table_1[Total EMI], ROW()-11)))</f>
        <v>-1210.1571381062756</v>
      </c>
    </row>
    <row r="68" spans="2:3">
      <c r="B68" s="29" cm="1">
        <f t="array" ref="B68">IFERROR(INDEX(amort_table_1[Due date],ROW()-11),"")</f>
        <v>47274</v>
      </c>
      <c r="C68" s="25" cm="1">
        <f t="array" ref="C68">IF(B68="","",-(INDEX(amort_table_1[Total EMI], ROW()-11)))</f>
        <v>-1210.1571381062756</v>
      </c>
    </row>
    <row r="69" spans="2:3">
      <c r="B69" s="29" cm="1">
        <f t="array" ref="B69">IFERROR(INDEX(amort_table_1[Due date],ROW()-11),"")</f>
        <v>47304</v>
      </c>
      <c r="C69" s="25" cm="1">
        <f t="array" ref="C69">IF(B69="","",-(INDEX(amort_table_1[Total EMI], ROW()-11)))</f>
        <v>-1210.1571381062756</v>
      </c>
    </row>
    <row r="70" spans="2:3">
      <c r="B70" s="29" cm="1">
        <f t="array" ref="B70">IFERROR(INDEX(amort_table_1[Due date],ROW()-11),"")</f>
        <v>47335</v>
      </c>
      <c r="C70" s="25" cm="1">
        <f t="array" ref="C70">IF(B70="","",-(INDEX(amort_table_1[Total EMI], ROW()-11)))</f>
        <v>-1210.1571381062756</v>
      </c>
    </row>
    <row r="71" spans="2:3">
      <c r="B71" s="29" cm="1">
        <f t="array" ref="B71">IFERROR(INDEX(amort_table_1[Due date],ROW()-11),"")</f>
        <v>47366</v>
      </c>
      <c r="C71" s="25" cm="1">
        <f t="array" ref="C71">IF(B71="","",-(INDEX(amort_table_1[Total EMI], ROW()-11)))</f>
        <v>-1210.1571381062756</v>
      </c>
    </row>
    <row r="72" spans="2:3">
      <c r="B72" s="29" cm="1">
        <f t="array" ref="B72">IFERROR(INDEX(amort_table_1[Due date],ROW()-11),"")</f>
        <v>47396</v>
      </c>
      <c r="C72" s="25" cm="1">
        <f t="array" ref="C72">IF(B72="","",-(INDEX(amort_table_1[Total EMI], ROW()-11)))</f>
        <v>-1210.1571381062756</v>
      </c>
    </row>
    <row r="73" spans="2:3">
      <c r="B73" s="29" cm="1">
        <f t="array" ref="B73">IFERROR(INDEX(amort_table_1[Due date],ROW()-11),"")</f>
        <v>47427</v>
      </c>
      <c r="C73" s="25" cm="1">
        <f t="array" ref="C73">IF(B73="","",-(INDEX(amort_table_1[Total EMI], ROW()-11)))</f>
        <v>-1210.1571381062756</v>
      </c>
    </row>
    <row r="74" spans="2:3">
      <c r="B74" s="29" cm="1">
        <f t="array" ref="B74">IFERROR(INDEX(amort_table_1[Due date],ROW()-11),"")</f>
        <v>47457</v>
      </c>
      <c r="C74" s="25" cm="1">
        <f t="array" ref="C74">IF(B74="","",-(INDEX(amort_table_1[Total EMI], ROW()-11)))</f>
        <v>-1210.1571381062756</v>
      </c>
    </row>
    <row r="75" spans="2:3">
      <c r="B75" s="29" cm="1">
        <f t="array" ref="B75">IFERROR(INDEX(amort_table_1[Due date],ROW()-11),"")</f>
        <v>47488</v>
      </c>
      <c r="C75" s="25" cm="1">
        <f t="array" ref="C75">IF(B75="","",-(INDEX(amort_table_1[Total EMI], ROW()-11)))</f>
        <v>-1210.1571381062756</v>
      </c>
    </row>
    <row r="76" spans="2:3">
      <c r="B76" s="29" cm="1">
        <f t="array" ref="B76">IFERROR(INDEX(amort_table_1[Due date],ROW()-11),"")</f>
        <v>47519</v>
      </c>
      <c r="C76" s="25" cm="1">
        <f t="array" ref="C76">IF(B76="","",-(INDEX(amort_table_1[Total EMI], ROW()-11)))</f>
        <v>-1210.1571381062756</v>
      </c>
    </row>
    <row r="77" spans="2:3">
      <c r="B77" s="29" cm="1">
        <f t="array" ref="B77">IFERROR(INDEX(amort_table_1[Due date],ROW()-11),"")</f>
        <v>47547</v>
      </c>
      <c r="C77" s="25" cm="1">
        <f t="array" ref="C77">IF(B77="","",-(INDEX(amort_table_1[Total EMI], ROW()-11)))</f>
        <v>-1210.1571381062756</v>
      </c>
    </row>
    <row r="78" spans="2:3">
      <c r="B78" s="29" cm="1">
        <f t="array" ref="B78">IFERROR(INDEX(amort_table_1[Due date],ROW()-11),"")</f>
        <v>47578</v>
      </c>
      <c r="C78" s="25" cm="1">
        <f t="array" ref="C78">IF(B78="","",-(INDEX(amort_table_1[Total EMI], ROW()-11)))</f>
        <v>-1210.1571381062756</v>
      </c>
    </row>
    <row r="79" spans="2:3">
      <c r="B79" s="29" cm="1">
        <f t="array" ref="B79">IFERROR(INDEX(amort_table_1[Due date],ROW()-11),"")</f>
        <v>47608</v>
      </c>
      <c r="C79" s="25" cm="1">
        <f t="array" ref="C79">IF(B79="","",-(INDEX(amort_table_1[Total EMI], ROW()-11)))</f>
        <v>-1210.1571381062756</v>
      </c>
    </row>
    <row r="80" spans="2:3">
      <c r="B80" s="29" cm="1">
        <f t="array" ref="B80">IFERROR(INDEX(amort_table_1[Due date],ROW()-11),"")</f>
        <v>47639</v>
      </c>
      <c r="C80" s="25" cm="1">
        <f t="array" ref="C80">IF(B80="","",-(INDEX(amort_table_1[Total EMI], ROW()-11)))</f>
        <v>-1210.1571381062756</v>
      </c>
    </row>
    <row r="81" spans="2:3">
      <c r="B81" s="29" cm="1">
        <f t="array" ref="B81">IFERROR(INDEX(amort_table_1[Due date],ROW()-11),"")</f>
        <v>47669</v>
      </c>
      <c r="C81" s="25" cm="1">
        <f t="array" ref="C81">IF(B81="","",-(INDEX(amort_table_1[Total EMI], ROW()-11)))</f>
        <v>-1210.1571381062756</v>
      </c>
    </row>
    <row r="82" spans="2:3">
      <c r="B82" s="29" cm="1">
        <f t="array" ref="B82">IFERROR(INDEX(amort_table_1[Due date],ROW()-11),"")</f>
        <v>47700</v>
      </c>
      <c r="C82" s="25" cm="1">
        <f t="array" ref="C82">IF(B82="","",-(INDEX(amort_table_1[Total EMI], ROW()-11)))</f>
        <v>-1210.1571381062756</v>
      </c>
    </row>
    <row r="83" spans="2:3">
      <c r="B83" s="29" cm="1">
        <f t="array" ref="B83">IFERROR(INDEX(amort_table_1[Due date],ROW()-11),"")</f>
        <v>47731</v>
      </c>
      <c r="C83" s="25" cm="1">
        <f t="array" ref="C83">IF(B83="","",-(INDEX(amort_table_1[Total EMI], ROW()-11)))</f>
        <v>-1210.1571381062756</v>
      </c>
    </row>
    <row r="84" spans="2:3">
      <c r="B84" s="29" cm="1">
        <f t="array" ref="B84">IFERROR(INDEX(amort_table_1[Due date],ROW()-11),"")</f>
        <v>47761</v>
      </c>
      <c r="C84" s="25" cm="1">
        <f t="array" ref="C84">IF(B84="","",-(INDEX(amort_table_1[Total EMI], ROW()-11)))</f>
        <v>-1210.1571381062756</v>
      </c>
    </row>
    <row r="85" spans="2:3">
      <c r="B85" s="29" cm="1">
        <f t="array" ref="B85">IFERROR(INDEX(amort_table_1[Due date],ROW()-11),"")</f>
        <v>47792</v>
      </c>
      <c r="C85" s="25" cm="1">
        <f t="array" ref="C85">IF(B85="","",-(INDEX(amort_table_1[Total EMI], ROW()-11)))</f>
        <v>-1210.1571381062756</v>
      </c>
    </row>
    <row r="86" spans="2:3">
      <c r="B86" s="29" cm="1">
        <f t="array" ref="B86">IFERROR(INDEX(amort_table_1[Due date],ROW()-11),"")</f>
        <v>47822</v>
      </c>
      <c r="C86" s="25" cm="1">
        <f t="array" ref="C86">IF(B86="","",-(INDEX(amort_table_1[Total EMI], ROW()-11)))</f>
        <v>-1210.1571381062756</v>
      </c>
    </row>
    <row r="87" spans="2:3">
      <c r="B87" s="29" cm="1">
        <f t="array" ref="B87">IFERROR(INDEX(amort_table_1[Due date],ROW()-11),"")</f>
        <v>47853</v>
      </c>
      <c r="C87" s="25" cm="1">
        <f t="array" ref="C87">IF(B87="","",-(INDEX(amort_table_1[Total EMI], ROW()-11)))</f>
        <v>-1210.1571381062756</v>
      </c>
    </row>
    <row r="88" spans="2:3">
      <c r="B88" s="29" cm="1">
        <f t="array" ref="B88">IFERROR(INDEX(amort_table_1[Due date],ROW()-11),"")</f>
        <v>47884</v>
      </c>
      <c r="C88" s="25" cm="1">
        <f t="array" ref="C88">IF(B88="","",-(INDEX(amort_table_1[Total EMI], ROW()-11)))</f>
        <v>-1210.1571381062756</v>
      </c>
    </row>
    <row r="89" spans="2:3">
      <c r="B89" s="29" cm="1">
        <f t="array" ref="B89">IFERROR(INDEX(amort_table_1[Due date],ROW()-11),"")</f>
        <v>47912</v>
      </c>
      <c r="C89" s="25" cm="1">
        <f t="array" ref="C89">IF(B89="","",-(INDEX(amort_table_1[Total EMI], ROW()-11)))</f>
        <v>-1210.1571381062756</v>
      </c>
    </row>
    <row r="90" spans="2:3">
      <c r="B90" s="29" cm="1">
        <f t="array" ref="B90">IFERROR(INDEX(amort_table_1[Due date],ROW()-11),"")</f>
        <v>47943</v>
      </c>
      <c r="C90" s="25" cm="1">
        <f t="array" ref="C90">IF(B90="","",-(INDEX(amort_table_1[Total EMI], ROW()-11)))</f>
        <v>-1210.1571381062756</v>
      </c>
    </row>
    <row r="91" spans="2:3">
      <c r="B91" s="29" cm="1">
        <f t="array" ref="B91">IFERROR(INDEX(amort_table_1[Due date],ROW()-11),"")</f>
        <v>47973</v>
      </c>
      <c r="C91" s="25" cm="1">
        <f t="array" ref="C91">IF(B91="","",-(INDEX(amort_table_1[Total EMI], ROW()-11)))</f>
        <v>-1210.1571381062756</v>
      </c>
    </row>
    <row r="92" spans="2:3">
      <c r="B92" s="29" cm="1">
        <f t="array" ref="B92">IFERROR(INDEX(amort_table_1[Due date],ROW()-11),"")</f>
        <v>48004</v>
      </c>
      <c r="C92" s="25" cm="1">
        <f t="array" ref="C92">IF(B92="","",-(INDEX(amort_table_1[Total EMI], ROW()-11)))</f>
        <v>-1210.1571381062756</v>
      </c>
    </row>
    <row r="93" spans="2:3">
      <c r="B93" s="29" cm="1">
        <f t="array" ref="B93">IFERROR(INDEX(amort_table_1[Due date],ROW()-11),"")</f>
        <v>48034</v>
      </c>
      <c r="C93" s="25" cm="1">
        <f t="array" ref="C93">IF(B93="","",-(INDEX(amort_table_1[Total EMI], ROW()-11)))</f>
        <v>-1210.1571381062756</v>
      </c>
    </row>
    <row r="94" spans="2:3">
      <c r="B94" s="29" cm="1">
        <f t="array" ref="B94">IFERROR(INDEX(amort_table_1[Due date],ROW()-11),"")</f>
        <v>48065</v>
      </c>
      <c r="C94" s="25" cm="1">
        <f t="array" ref="C94">IF(B94="","",-(INDEX(amort_table_1[Total EMI], ROW()-11)))</f>
        <v>-1210.1571381062756</v>
      </c>
    </row>
    <row r="95" spans="2:3">
      <c r="B95" s="29" cm="1">
        <f t="array" ref="B95">IFERROR(INDEX(amort_table_1[Due date],ROW()-11),"")</f>
        <v>48096</v>
      </c>
      <c r="C95" s="25" cm="1">
        <f t="array" ref="C95">IF(B95="","",-(INDEX(amort_table_1[Total EMI], ROW()-11)))</f>
        <v>-1210.1571381062756</v>
      </c>
    </row>
    <row r="96" spans="2:3">
      <c r="B96" s="29" cm="1">
        <f t="array" ref="B96">IFERROR(INDEX(amort_table_1[Due date],ROW()-11),"")</f>
        <v>48126</v>
      </c>
      <c r="C96" s="25" cm="1">
        <f t="array" ref="C96">IF(B96="","",-(INDEX(amort_table_1[Total EMI], ROW()-11)))</f>
        <v>-1210.1571381062756</v>
      </c>
    </row>
    <row r="97" spans="2:3">
      <c r="B97" s="29" cm="1">
        <f t="array" ref="B97">IFERROR(INDEX(amort_table_1[Due date],ROW()-11),"")</f>
        <v>48157</v>
      </c>
      <c r="C97" s="25" cm="1">
        <f t="array" ref="C97">IF(B97="","",-(INDEX(amort_table_1[Total EMI], ROW()-11)))</f>
        <v>-1210.1571381062756</v>
      </c>
    </row>
    <row r="98" spans="2:3">
      <c r="B98" s="29" cm="1">
        <f t="array" ref="B98">IFERROR(INDEX(amort_table_1[Due date],ROW()-11),"")</f>
        <v>48187</v>
      </c>
      <c r="C98" s="25" cm="1">
        <f t="array" ref="C98">IF(B98="","",-(INDEX(amort_table_1[Total EMI], ROW()-11)))</f>
        <v>-1210.1571381062756</v>
      </c>
    </row>
    <row r="99" spans="2:3">
      <c r="B99" s="29" cm="1">
        <f t="array" ref="B99">IFERROR(INDEX(amort_table_1[Due date],ROW()-11),"")</f>
        <v>48218</v>
      </c>
      <c r="C99" s="25" cm="1">
        <f t="array" ref="C99">IF(B99="","",-(INDEX(amort_table_1[Total EMI], ROW()-11)))</f>
        <v>-1210.1571381062756</v>
      </c>
    </row>
    <row r="100" spans="2:3">
      <c r="B100" s="29" cm="1">
        <f t="array" ref="B100">IFERROR(INDEX(amort_table_1[Due date],ROW()-11),"")</f>
        <v>48249</v>
      </c>
      <c r="C100" s="25" cm="1">
        <f t="array" ref="C100">IF(B100="","",-(INDEX(amort_table_1[Total EMI], ROW()-11)))</f>
        <v>-1210.1571381062756</v>
      </c>
    </row>
    <row r="101" spans="2:3">
      <c r="B101" s="29" cm="1">
        <f t="array" ref="B101">IFERROR(INDEX(amort_table_1[Due date],ROW()-11),"")</f>
        <v>48278</v>
      </c>
      <c r="C101" s="25" cm="1">
        <f t="array" ref="C101">IF(B101="","",-(INDEX(amort_table_1[Total EMI], ROW()-11)))</f>
        <v>-1210.1571381062756</v>
      </c>
    </row>
    <row r="102" spans="2:3">
      <c r="B102" s="29" cm="1">
        <f t="array" ref="B102">IFERROR(INDEX(amort_table_1[Due date],ROW()-11),"")</f>
        <v>48309</v>
      </c>
      <c r="C102" s="25" cm="1">
        <f t="array" ref="C102">IF(B102="","",-(INDEX(amort_table_1[Total EMI], ROW()-11)))</f>
        <v>-1210.1571381062756</v>
      </c>
    </row>
    <row r="103" spans="2:3">
      <c r="B103" s="29" cm="1">
        <f t="array" ref="B103">IFERROR(INDEX(amort_table_1[Due date],ROW()-11),"")</f>
        <v>48339</v>
      </c>
      <c r="C103" s="25" cm="1">
        <f t="array" ref="C103">IF(B103="","",-(INDEX(amort_table_1[Total EMI], ROW()-11)))</f>
        <v>-1210.1571381062756</v>
      </c>
    </row>
    <row r="104" spans="2:3">
      <c r="B104" s="29" cm="1">
        <f t="array" ref="B104">IFERROR(INDEX(amort_table_1[Due date],ROW()-11),"")</f>
        <v>48370</v>
      </c>
      <c r="C104" s="25" cm="1">
        <f t="array" ref="C104">IF(B104="","",-(INDEX(amort_table_1[Total EMI], ROW()-11)))</f>
        <v>-1210.1571381062756</v>
      </c>
    </row>
    <row r="105" spans="2:3">
      <c r="B105" s="29" cm="1">
        <f t="array" ref="B105">IFERROR(INDEX(amort_table_1[Due date],ROW()-11),"")</f>
        <v>48400</v>
      </c>
      <c r="C105" s="25" cm="1">
        <f t="array" ref="C105">IF(B105="","",-(INDEX(amort_table_1[Total EMI], ROW()-11)))</f>
        <v>-1210.1571381062756</v>
      </c>
    </row>
    <row r="106" spans="2:3">
      <c r="B106" s="29" cm="1">
        <f t="array" ref="B106">IFERROR(INDEX(amort_table_1[Due date],ROW()-11),"")</f>
        <v>48431</v>
      </c>
      <c r="C106" s="25" cm="1">
        <f t="array" ref="C106">IF(B106="","",-(INDEX(amort_table_1[Total EMI], ROW()-11)))</f>
        <v>-1210.1571381062756</v>
      </c>
    </row>
    <row r="107" spans="2:3">
      <c r="B107" s="29" cm="1">
        <f t="array" ref="B107">IFERROR(INDEX(amort_table_1[Due date],ROW()-11),"")</f>
        <v>48462</v>
      </c>
      <c r="C107" s="25" cm="1">
        <f t="array" ref="C107">IF(B107="","",-(INDEX(amort_table_1[Total EMI], ROW()-11)))</f>
        <v>-1210.1571381062756</v>
      </c>
    </row>
    <row r="108" spans="2:3">
      <c r="B108" s="29" cm="1">
        <f t="array" ref="B108">IFERROR(INDEX(amort_table_1[Due date],ROW()-11),"")</f>
        <v>48492</v>
      </c>
      <c r="C108" s="25" cm="1">
        <f t="array" ref="C108">IF(B108="","",-(INDEX(amort_table_1[Total EMI], ROW()-11)))</f>
        <v>-1210.1571381062756</v>
      </c>
    </row>
    <row r="109" spans="2:3">
      <c r="B109" s="29" cm="1">
        <f t="array" ref="B109">IFERROR(INDEX(amort_table_1[Due date],ROW()-11),"")</f>
        <v>48523</v>
      </c>
      <c r="C109" s="25" cm="1">
        <f t="array" ref="C109">IF(B109="","",-(INDEX(amort_table_1[Total EMI], ROW()-11)))</f>
        <v>-1210.1571381062756</v>
      </c>
    </row>
    <row r="110" spans="2:3">
      <c r="B110" s="29" cm="1">
        <f t="array" ref="B110">IFERROR(INDEX(amort_table_1[Due date],ROW()-11),"")</f>
        <v>48553</v>
      </c>
      <c r="C110" s="25" cm="1">
        <f t="array" ref="C110">IF(B110="","",-(INDEX(amort_table_1[Total EMI], ROW()-11)))</f>
        <v>-1210.1571381062756</v>
      </c>
    </row>
    <row r="111" spans="2:3">
      <c r="B111" s="29" cm="1">
        <f t="array" ref="B111">IFERROR(INDEX(amort_table_1[Due date],ROW()-11),"")</f>
        <v>48584</v>
      </c>
      <c r="C111" s="25" cm="1">
        <f t="array" ref="C111">IF(B111="","",-(INDEX(amort_table_1[Total EMI], ROW()-11)))</f>
        <v>-1210.1571381062756</v>
      </c>
    </row>
    <row r="112" spans="2:3">
      <c r="B112" s="29" cm="1">
        <f t="array" ref="B112">IFERROR(INDEX(amort_table_1[Due date],ROW()-11),"")</f>
        <v>48615</v>
      </c>
      <c r="C112" s="25" cm="1">
        <f t="array" ref="C112">IF(B112="","",-(INDEX(amort_table_1[Total EMI], ROW()-11)))</f>
        <v>-1210.1571381062756</v>
      </c>
    </row>
    <row r="113" spans="2:3">
      <c r="B113" s="29" cm="1">
        <f t="array" ref="B113">IFERROR(INDEX(amort_table_1[Due date],ROW()-11),"")</f>
        <v>48643</v>
      </c>
      <c r="C113" s="25" cm="1">
        <f t="array" ref="C113">IF(B113="","",-(INDEX(amort_table_1[Total EMI], ROW()-11)))</f>
        <v>-1210.1571381062756</v>
      </c>
    </row>
    <row r="114" spans="2:3">
      <c r="B114" s="29" cm="1">
        <f t="array" ref="B114">IFERROR(INDEX(amort_table_1[Due date],ROW()-11),"")</f>
        <v>48674</v>
      </c>
      <c r="C114" s="25" cm="1">
        <f t="array" ref="C114">IF(B114="","",-(INDEX(amort_table_1[Total EMI], ROW()-11)))</f>
        <v>-1210.1571381062756</v>
      </c>
    </row>
    <row r="115" spans="2:3">
      <c r="B115" s="29" cm="1">
        <f t="array" ref="B115">IFERROR(INDEX(amort_table_1[Due date],ROW()-11),"")</f>
        <v>48704</v>
      </c>
      <c r="C115" s="25" cm="1">
        <f t="array" ref="C115">IF(B115="","",-(INDEX(amort_table_1[Total EMI], ROW()-11)))</f>
        <v>-1210.1571381062756</v>
      </c>
    </row>
    <row r="116" spans="2:3">
      <c r="B116" s="29" cm="1">
        <f t="array" ref="B116">IFERROR(INDEX(amort_table_1[Due date],ROW()-11),"")</f>
        <v>48735</v>
      </c>
      <c r="C116" s="25" cm="1">
        <f t="array" ref="C116">IF(B116="","",-(INDEX(amort_table_1[Total EMI], ROW()-11)))</f>
        <v>-1210.1571381062756</v>
      </c>
    </row>
    <row r="117" spans="2:3">
      <c r="B117" s="29" cm="1">
        <f t="array" ref="B117">IFERROR(INDEX(amort_table_1[Due date],ROW()-11),"")</f>
        <v>48765</v>
      </c>
      <c r="C117" s="25" cm="1">
        <f t="array" ref="C117">IF(B117="","",-(INDEX(amort_table_1[Total EMI], ROW()-11)))</f>
        <v>-1210.1571381062756</v>
      </c>
    </row>
    <row r="118" spans="2:3">
      <c r="B118" s="29" cm="1">
        <f t="array" ref="B118">IFERROR(INDEX(amort_table_1[Due date],ROW()-11),"")</f>
        <v>48796</v>
      </c>
      <c r="C118" s="25" cm="1">
        <f t="array" ref="C118">IF(B118="","",-(INDEX(amort_table_1[Total EMI], ROW()-11)))</f>
        <v>-1210.1571381062756</v>
      </c>
    </row>
    <row r="119" spans="2:3">
      <c r="B119" s="29" cm="1">
        <f t="array" ref="B119">IFERROR(INDEX(amort_table_1[Due date],ROW()-11),"")</f>
        <v>48827</v>
      </c>
      <c r="C119" s="25" cm="1">
        <f t="array" ref="C119">IF(B119="","",-(INDEX(amort_table_1[Total EMI], ROW()-11)))</f>
        <v>-1210.1571381062756</v>
      </c>
    </row>
    <row r="120" spans="2:3">
      <c r="B120" s="29" cm="1">
        <f t="array" ref="B120">IFERROR(INDEX(amort_table_1[Due date],ROW()-11),"")</f>
        <v>48857</v>
      </c>
      <c r="C120" s="25" cm="1">
        <f t="array" ref="C120">IF(B120="","",-(INDEX(amort_table_1[Total EMI], ROW()-11)))</f>
        <v>-1210.1571381062756</v>
      </c>
    </row>
    <row r="121" spans="2:3">
      <c r="B121" s="29" cm="1">
        <f t="array" ref="B121">IFERROR(INDEX(amort_table_1[Due date],ROW()-11),"")</f>
        <v>48888</v>
      </c>
      <c r="C121" s="25" cm="1">
        <f t="array" ref="C121">IF(B121="","",-(INDEX(amort_table_1[Total EMI], ROW()-11)))</f>
        <v>-1210.1571381062756</v>
      </c>
    </row>
    <row r="122" spans="2:3">
      <c r="B122" s="29" cm="1">
        <f t="array" ref="B122">IFERROR(INDEX(amort_table_1[Due date],ROW()-11),"")</f>
        <v>48918</v>
      </c>
      <c r="C122" s="25" cm="1">
        <f t="array" ref="C122">IF(B122="","",-(INDEX(amort_table_1[Total EMI], ROW()-11)))</f>
        <v>-1210.1571381062756</v>
      </c>
    </row>
    <row r="123" spans="2:3">
      <c r="B123" s="29" cm="1">
        <f t="array" ref="B123">IFERROR(INDEX(amort_table_1[Due date],ROW()-11),"")</f>
        <v>48949</v>
      </c>
      <c r="C123" s="25" cm="1">
        <f t="array" ref="C123">IF(B123="","",-(INDEX(amort_table_1[Total EMI], ROW()-11)))</f>
        <v>-1210.1571381062756</v>
      </c>
    </row>
    <row r="124" spans="2:3">
      <c r="B124" s="29" cm="1">
        <f t="array" ref="B124">IFERROR(INDEX(amort_table_1[Due date],ROW()-11),"")</f>
        <v>48980</v>
      </c>
      <c r="C124" s="25" cm="1">
        <f t="array" ref="C124">IF(B124="","",-(INDEX(amort_table_1[Total EMI], ROW()-11)))</f>
        <v>-1210.1571381062756</v>
      </c>
    </row>
    <row r="125" spans="2:3">
      <c r="B125" s="29" cm="1">
        <f t="array" ref="B125">IFERROR(INDEX(amort_table_1[Due date],ROW()-11),"")</f>
        <v>49008</v>
      </c>
      <c r="C125" s="25" cm="1">
        <f t="array" ref="C125">IF(B125="","",-(INDEX(amort_table_1[Total EMI], ROW()-11)))</f>
        <v>-1210.1571381062756</v>
      </c>
    </row>
    <row r="126" spans="2:3">
      <c r="B126" s="29" cm="1">
        <f t="array" ref="B126">IFERROR(INDEX(amort_table_1[Due date],ROW()-11),"")</f>
        <v>49039</v>
      </c>
      <c r="C126" s="25" cm="1">
        <f t="array" ref="C126">IF(B126="","",-(INDEX(amort_table_1[Total EMI], ROW()-11)))</f>
        <v>-1210.1571381062756</v>
      </c>
    </row>
    <row r="127" spans="2:3">
      <c r="B127" s="29" cm="1">
        <f t="array" ref="B127">IFERROR(INDEX(amort_table_1[Due date],ROW()-11),"")</f>
        <v>49069</v>
      </c>
      <c r="C127" s="25" cm="1">
        <f t="array" ref="C127">IF(B127="","",-(INDEX(amort_table_1[Total EMI], ROW()-11)))</f>
        <v>-1210.1571381062756</v>
      </c>
    </row>
    <row r="128" spans="2:3">
      <c r="B128" s="29" cm="1">
        <f t="array" ref="B128">IFERROR(INDEX(amort_table_1[Due date],ROW()-11),"")</f>
        <v>49100</v>
      </c>
      <c r="C128" s="25" cm="1">
        <f t="array" ref="C128">IF(B128="","",-(INDEX(amort_table_1[Total EMI], ROW()-11)))</f>
        <v>-1210.1571381062756</v>
      </c>
    </row>
    <row r="129" spans="2:3">
      <c r="B129" s="29" cm="1">
        <f t="array" ref="B129">IFERROR(INDEX(amort_table_1[Due date],ROW()-11),"")</f>
        <v>49130</v>
      </c>
      <c r="C129" s="25" cm="1">
        <f t="array" ref="C129">IF(B129="","",-(INDEX(amort_table_1[Total EMI], ROW()-11)))</f>
        <v>-1210.1571381062756</v>
      </c>
    </row>
    <row r="130" spans="2:3">
      <c r="B130" s="29" cm="1">
        <f t="array" ref="B130">IFERROR(INDEX(amort_table_1[Due date],ROW()-11),"")</f>
        <v>49161</v>
      </c>
      <c r="C130" s="25" cm="1">
        <f t="array" ref="C130">IF(B130="","",-(INDEX(amort_table_1[Total EMI], ROW()-11)))</f>
        <v>-1210.1571381062756</v>
      </c>
    </row>
    <row r="131" spans="2:3">
      <c r="B131" s="29" cm="1">
        <f t="array" ref="B131">IFERROR(INDEX(amort_table_1[Due date],ROW()-11),"")</f>
        <v>49192</v>
      </c>
      <c r="C131" s="25" cm="1">
        <f t="array" ref="C131">IF(B131="","",-(INDEX(amort_table_1[Total EMI], ROW()-11)))</f>
        <v>-1210.1571381062756</v>
      </c>
    </row>
    <row r="132" spans="2:3">
      <c r="B132" s="29" cm="1">
        <f t="array" ref="B132">IFERROR(INDEX(amort_table_1[Due date],ROW()-11),"")</f>
        <v>49222</v>
      </c>
      <c r="C132" s="25" cm="1">
        <f t="array" ref="C132">IF(B132="","",-(INDEX(amort_table_1[Total EMI], ROW()-11)))</f>
        <v>-1210.1571381062756</v>
      </c>
    </row>
    <row r="133" spans="2:3">
      <c r="B133" s="29" cm="1">
        <f t="array" ref="B133">IFERROR(INDEX(amort_table_1[Due date],ROW()-11),"")</f>
        <v>49253</v>
      </c>
      <c r="C133" s="25" cm="1">
        <f t="array" ref="C133">IF(B133="","",-(INDEX(amort_table_1[Total EMI], ROW()-11)))</f>
        <v>-1210.1571381062756</v>
      </c>
    </row>
    <row r="134" spans="2:3">
      <c r="B134" s="29" cm="1">
        <f t="array" ref="B134">IFERROR(INDEX(amort_table_1[Due date],ROW()-11),"")</f>
        <v>49283</v>
      </c>
      <c r="C134" s="25" cm="1">
        <f t="array" ref="C134">IF(B134="","",-(INDEX(amort_table_1[Total EMI], ROW()-11)))</f>
        <v>-1210.1571381062756</v>
      </c>
    </row>
    <row r="135" spans="2:3">
      <c r="B135" s="29" cm="1">
        <f t="array" ref="B135">IFERROR(INDEX(amort_table_1[Due date],ROW()-11),"")</f>
        <v>49314</v>
      </c>
      <c r="C135" s="25" cm="1">
        <f t="array" ref="C135">IF(B135="","",-(INDEX(amort_table_1[Total EMI], ROW()-11)))</f>
        <v>-1210.1571381062756</v>
      </c>
    </row>
    <row r="136" spans="2:3">
      <c r="B136" s="29" cm="1">
        <f t="array" ref="B136">IFERROR(INDEX(amort_table_1[Due date],ROW()-11),"")</f>
        <v>49345</v>
      </c>
      <c r="C136" s="25" cm="1">
        <f t="array" ref="C136">IF(B136="","",-(INDEX(amort_table_1[Total EMI], ROW()-11)))</f>
        <v>-1210.1571381062756</v>
      </c>
    </row>
    <row r="137" spans="2:3">
      <c r="B137" s="29" cm="1">
        <f t="array" ref="B137">IFERROR(INDEX(amort_table_1[Due date],ROW()-11),"")</f>
        <v>49373</v>
      </c>
      <c r="C137" s="25" cm="1">
        <f t="array" ref="C137">IF(B137="","",-(INDEX(amort_table_1[Total EMI], ROW()-11)))</f>
        <v>-1210.1571381062756</v>
      </c>
    </row>
    <row r="138" spans="2:3">
      <c r="B138" s="29" cm="1">
        <f t="array" ref="B138">IFERROR(INDEX(amort_table_1[Due date],ROW()-11),"")</f>
        <v>49404</v>
      </c>
      <c r="C138" s="25" cm="1">
        <f t="array" ref="C138">IF(B138="","",-(INDEX(amort_table_1[Total EMI], ROW()-11)))</f>
        <v>-1210.1571381062756</v>
      </c>
    </row>
    <row r="139" spans="2:3">
      <c r="B139" s="29" cm="1">
        <f t="array" ref="B139">IFERROR(INDEX(amort_table_1[Due date],ROW()-11),"")</f>
        <v>49434</v>
      </c>
      <c r="C139" s="25" cm="1">
        <f t="array" ref="C139">IF(B139="","",-(INDEX(amort_table_1[Total EMI], ROW()-11)))</f>
        <v>-1210.1571381062756</v>
      </c>
    </row>
    <row r="140" spans="2:3">
      <c r="B140" s="29" cm="1">
        <f t="array" ref="B140">IFERROR(INDEX(amort_table_1[Due date],ROW()-11),"")</f>
        <v>49465</v>
      </c>
      <c r="C140" s="25" cm="1">
        <f t="array" ref="C140">IF(B140="","",-(INDEX(amort_table_1[Total EMI], ROW()-11)))</f>
        <v>-1210.1571381062756</v>
      </c>
    </row>
    <row r="141" spans="2:3">
      <c r="B141" s="29" cm="1">
        <f t="array" ref="B141">IFERROR(INDEX(amort_table_1[Due date],ROW()-11),"")</f>
        <v>49495</v>
      </c>
      <c r="C141" s="25" cm="1">
        <f t="array" ref="C141">IF(B141="","",-(INDEX(amort_table_1[Total EMI], ROW()-11)))</f>
        <v>-1210.1571381062756</v>
      </c>
    </row>
    <row r="142" spans="2:3">
      <c r="B142" s="29" cm="1">
        <f t="array" ref="B142">IFERROR(INDEX(amort_table_1[Due date],ROW()-11),"")</f>
        <v>49526</v>
      </c>
      <c r="C142" s="25" cm="1">
        <f t="array" ref="C142">IF(B142="","",-(INDEX(amort_table_1[Total EMI], ROW()-11)))</f>
        <v>-1210.1571381062756</v>
      </c>
    </row>
    <row r="143" spans="2:3">
      <c r="B143" s="29" cm="1">
        <f t="array" ref="B143">IFERROR(INDEX(amort_table_1[Due date],ROW()-11),"")</f>
        <v>49557</v>
      </c>
      <c r="C143" s="25" cm="1">
        <f t="array" ref="C143">IF(B143="","",-(INDEX(amort_table_1[Total EMI], ROW()-11)))</f>
        <v>-1210.1571381062756</v>
      </c>
    </row>
    <row r="144" spans="2:3">
      <c r="B144" s="29" cm="1">
        <f t="array" ref="B144">IFERROR(INDEX(amort_table_1[Due date],ROW()-11),"")</f>
        <v>49587</v>
      </c>
      <c r="C144" s="25" cm="1">
        <f t="array" ref="C144">IF(B144="","",-(INDEX(amort_table_1[Total EMI], ROW()-11)))</f>
        <v>-1210.1571381062756</v>
      </c>
    </row>
    <row r="145" spans="2:3">
      <c r="B145" s="29" cm="1">
        <f t="array" ref="B145">IFERROR(INDEX(amort_table_1[Due date],ROW()-11),"")</f>
        <v>49618</v>
      </c>
      <c r="C145" s="25" cm="1">
        <f t="array" ref="C145">IF(B145="","",-(INDEX(amort_table_1[Total EMI], ROW()-11)))</f>
        <v>-1210.1571381062756</v>
      </c>
    </row>
    <row r="146" spans="2:3">
      <c r="B146" s="29" cm="1">
        <f t="array" ref="B146">IFERROR(INDEX(amort_table_1[Due date],ROW()-11),"")</f>
        <v>49648</v>
      </c>
      <c r="C146" s="25" cm="1">
        <f t="array" ref="C146">IF(B146="","",-(INDEX(amort_table_1[Total EMI], ROW()-11)))</f>
        <v>-1210.1571381062756</v>
      </c>
    </row>
    <row r="147" spans="2:3">
      <c r="B147" s="29" cm="1">
        <f t="array" ref="B147">IFERROR(INDEX(amort_table_1[Due date],ROW()-11),"")</f>
        <v>49679</v>
      </c>
      <c r="C147" s="25" cm="1">
        <f t="array" ref="C147">IF(B147="","",-(INDEX(amort_table_1[Total EMI], ROW()-11)))</f>
        <v>-1210.1571381062756</v>
      </c>
    </row>
    <row r="148" spans="2:3">
      <c r="B148" s="29" cm="1">
        <f t="array" ref="B148">IFERROR(INDEX(amort_table_1[Due date],ROW()-11),"")</f>
        <v>49710</v>
      </c>
      <c r="C148" s="25" cm="1">
        <f t="array" ref="C148">IF(B148="","",-(INDEX(amort_table_1[Total EMI], ROW()-11)))</f>
        <v>-1210.1571381062756</v>
      </c>
    </row>
    <row r="149" spans="2:3">
      <c r="B149" s="29" cm="1">
        <f t="array" ref="B149">IFERROR(INDEX(amort_table_1[Due date],ROW()-11),"")</f>
        <v>49739</v>
      </c>
      <c r="C149" s="25" cm="1">
        <f t="array" ref="C149">IF(B149="","",-(INDEX(amort_table_1[Total EMI], ROW()-11)))</f>
        <v>-1210.1571381062756</v>
      </c>
    </row>
    <row r="150" spans="2:3">
      <c r="B150" s="29" cm="1">
        <f t="array" ref="B150">IFERROR(INDEX(amort_table_1[Due date],ROW()-11),"")</f>
        <v>49770</v>
      </c>
      <c r="C150" s="25" cm="1">
        <f t="array" ref="C150">IF(B150="","",-(INDEX(amort_table_1[Total EMI], ROW()-11)))</f>
        <v>-1210.1571381062756</v>
      </c>
    </row>
    <row r="151" spans="2:3">
      <c r="B151" s="29" cm="1">
        <f t="array" ref="B151">IFERROR(INDEX(amort_table_1[Due date],ROW()-11),"")</f>
        <v>49800</v>
      </c>
      <c r="C151" s="25" cm="1">
        <f t="array" ref="C151">IF(B151="","",-(INDEX(amort_table_1[Total EMI], ROW()-11)))</f>
        <v>-1210.1571381062756</v>
      </c>
    </row>
    <row r="152" spans="2:3">
      <c r="B152" s="29" cm="1">
        <f t="array" ref="B152">IFERROR(INDEX(amort_table_1[Due date],ROW()-11),"")</f>
        <v>49831</v>
      </c>
      <c r="C152" s="25" cm="1">
        <f t="array" ref="C152">IF(B152="","",-(INDEX(amort_table_1[Total EMI], ROW()-11)))</f>
        <v>-1210.1571381062756</v>
      </c>
    </row>
    <row r="153" spans="2:3">
      <c r="B153" s="29" cm="1">
        <f t="array" ref="B153">IFERROR(INDEX(amort_table_1[Due date],ROW()-11),"")</f>
        <v>49861</v>
      </c>
      <c r="C153" s="25" cm="1">
        <f t="array" ref="C153">IF(B153="","",-(INDEX(amort_table_1[Total EMI], ROW()-11)))</f>
        <v>-1210.1571381062756</v>
      </c>
    </row>
    <row r="154" spans="2:3">
      <c r="B154" s="29" cm="1">
        <f t="array" ref="B154">IFERROR(INDEX(amort_table_1[Due date],ROW()-11),"")</f>
        <v>49892</v>
      </c>
      <c r="C154" s="25" cm="1">
        <f t="array" ref="C154">IF(B154="","",-(INDEX(amort_table_1[Total EMI], ROW()-11)))</f>
        <v>-1210.1571381062756</v>
      </c>
    </row>
    <row r="155" spans="2:3">
      <c r="B155" s="29" cm="1">
        <f t="array" ref="B155">IFERROR(INDEX(amort_table_1[Due date],ROW()-11),"")</f>
        <v>49923</v>
      </c>
      <c r="C155" s="25" cm="1">
        <f t="array" ref="C155">IF(B155="","",-(INDEX(amort_table_1[Total EMI], ROW()-11)))</f>
        <v>-1210.1571381062756</v>
      </c>
    </row>
    <row r="156" spans="2:3">
      <c r="B156" s="29" cm="1">
        <f t="array" ref="B156">IFERROR(INDEX(amort_table_1[Due date],ROW()-11),"")</f>
        <v>49953</v>
      </c>
      <c r="C156" s="25" cm="1">
        <f t="array" ref="C156">IF(B156="","",-(INDEX(amort_table_1[Total EMI], ROW()-11)))</f>
        <v>-1210.1571381062756</v>
      </c>
    </row>
    <row r="157" spans="2:3">
      <c r="B157" s="29" cm="1">
        <f t="array" ref="B157">IFERROR(INDEX(amort_table_1[Due date],ROW()-11),"")</f>
        <v>49984</v>
      </c>
      <c r="C157" s="25" cm="1">
        <f t="array" ref="C157">IF(B157="","",-(INDEX(amort_table_1[Total EMI], ROW()-11)))</f>
        <v>-1210.1571381062756</v>
      </c>
    </row>
    <row r="158" spans="2:3">
      <c r="B158" s="29" cm="1">
        <f t="array" ref="B158">IFERROR(INDEX(amort_table_1[Due date],ROW()-11),"")</f>
        <v>50014</v>
      </c>
      <c r="C158" s="25" cm="1">
        <f t="array" ref="C158">IF(B158="","",-(INDEX(amort_table_1[Total EMI], ROW()-11)))</f>
        <v>-1210.1571381062756</v>
      </c>
    </row>
    <row r="159" spans="2:3">
      <c r="B159" s="29" cm="1">
        <f t="array" ref="B159">IFERROR(INDEX(amort_table_1[Due date],ROW()-11),"")</f>
        <v>50045</v>
      </c>
      <c r="C159" s="25" cm="1">
        <f t="array" ref="C159">IF(B159="","",-(INDEX(amort_table_1[Total EMI], ROW()-11)))</f>
        <v>-1210.1571381062756</v>
      </c>
    </row>
    <row r="160" spans="2:3">
      <c r="B160" s="29" cm="1">
        <f t="array" ref="B160">IFERROR(INDEX(amort_table_1[Due date],ROW()-11),"")</f>
        <v>50076</v>
      </c>
      <c r="C160" s="25" cm="1">
        <f t="array" ref="C160">IF(B160="","",-(INDEX(amort_table_1[Total EMI], ROW()-11)))</f>
        <v>-1210.1571381062756</v>
      </c>
    </row>
    <row r="161" spans="2:3">
      <c r="B161" s="29" cm="1">
        <f t="array" ref="B161">IFERROR(INDEX(amort_table_1[Due date],ROW()-11),"")</f>
        <v>50104</v>
      </c>
      <c r="C161" s="25" cm="1">
        <f t="array" ref="C161">IF(B161="","",-(INDEX(amort_table_1[Total EMI], ROW()-11)))</f>
        <v>-1210.1571381062756</v>
      </c>
    </row>
    <row r="162" spans="2:3">
      <c r="B162" s="29" cm="1">
        <f t="array" ref="B162">IFERROR(INDEX(amort_table_1[Due date],ROW()-11),"")</f>
        <v>50135</v>
      </c>
      <c r="C162" s="25" cm="1">
        <f t="array" ref="C162">IF(B162="","",-(INDEX(amort_table_1[Total EMI], ROW()-11)))</f>
        <v>-1210.1571381062756</v>
      </c>
    </row>
    <row r="163" spans="2:3">
      <c r="B163" s="29" cm="1">
        <f t="array" ref="B163">IFERROR(INDEX(amort_table_1[Due date],ROW()-11),"")</f>
        <v>50165</v>
      </c>
      <c r="C163" s="25" cm="1">
        <f t="array" ref="C163">IF(B163="","",-(INDEX(amort_table_1[Total EMI], ROW()-11)))</f>
        <v>-1210.1571381062756</v>
      </c>
    </row>
    <row r="164" spans="2:3">
      <c r="B164" s="29" cm="1">
        <f t="array" ref="B164">IFERROR(INDEX(amort_table_1[Due date],ROW()-11),"")</f>
        <v>50196</v>
      </c>
      <c r="C164" s="25" cm="1">
        <f t="array" ref="C164">IF(B164="","",-(INDEX(amort_table_1[Total EMI], ROW()-11)))</f>
        <v>-1210.1571381062756</v>
      </c>
    </row>
    <row r="165" spans="2:3">
      <c r="B165" s="29" cm="1">
        <f t="array" ref="B165">IFERROR(INDEX(amort_table_1[Due date],ROW()-11),"")</f>
        <v>50226</v>
      </c>
      <c r="C165" s="25" cm="1">
        <f t="array" ref="C165">IF(B165="","",-(INDEX(amort_table_1[Total EMI], ROW()-11)))</f>
        <v>-1210.1571381062756</v>
      </c>
    </row>
    <row r="166" spans="2:3">
      <c r="B166" s="29" cm="1">
        <f t="array" ref="B166">IFERROR(INDEX(amort_table_1[Due date],ROW()-11),"")</f>
        <v>50257</v>
      </c>
      <c r="C166" s="25" cm="1">
        <f t="array" ref="C166">IF(B166="","",-(INDEX(amort_table_1[Total EMI], ROW()-11)))</f>
        <v>-1210.1571381062756</v>
      </c>
    </row>
    <row r="167" spans="2:3">
      <c r="B167" s="29" cm="1">
        <f t="array" ref="B167">IFERROR(INDEX(amort_table_1[Due date],ROW()-11),"")</f>
        <v>50288</v>
      </c>
      <c r="C167" s="25" cm="1">
        <f t="array" ref="C167">IF(B167="","",-(INDEX(amort_table_1[Total EMI], ROW()-11)))</f>
        <v>-1210.1571381062756</v>
      </c>
    </row>
    <row r="168" spans="2:3">
      <c r="B168" s="29" cm="1">
        <f t="array" ref="B168">IFERROR(INDEX(amort_table_1[Due date],ROW()-11),"")</f>
        <v>50318</v>
      </c>
      <c r="C168" s="25" cm="1">
        <f t="array" ref="C168">IF(B168="","",-(INDEX(amort_table_1[Total EMI], ROW()-11)))</f>
        <v>-1210.1571381062756</v>
      </c>
    </row>
    <row r="169" spans="2:3">
      <c r="B169" s="29" cm="1">
        <f t="array" ref="B169">IFERROR(INDEX(amort_table_1[Due date],ROW()-11),"")</f>
        <v>50349</v>
      </c>
      <c r="C169" s="25" cm="1">
        <f t="array" ref="C169">IF(B169="","",-(INDEX(amort_table_1[Total EMI], ROW()-11)))</f>
        <v>-1210.1571381062756</v>
      </c>
    </row>
    <row r="170" spans="2:3">
      <c r="B170" s="29" cm="1">
        <f t="array" ref="B170">IFERROR(INDEX(amort_table_1[Due date],ROW()-11),"")</f>
        <v>50379</v>
      </c>
      <c r="C170" s="25" cm="1">
        <f t="array" ref="C170">IF(B170="","",-(INDEX(amort_table_1[Total EMI], ROW()-11)))</f>
        <v>-1210.1571381062756</v>
      </c>
    </row>
    <row r="171" spans="2:3">
      <c r="B171" s="29" cm="1">
        <f t="array" ref="B171">IFERROR(INDEX(amort_table_1[Due date],ROW()-11),"")</f>
        <v>50410</v>
      </c>
      <c r="C171" s="25" cm="1">
        <f t="array" ref="C171">IF(B171="","",-(INDEX(amort_table_1[Total EMI], ROW()-11)))</f>
        <v>-1210.1571381062756</v>
      </c>
    </row>
    <row r="172" spans="2:3">
      <c r="B172" s="29" cm="1">
        <f t="array" ref="B172">IFERROR(INDEX(amort_table_1[Due date],ROW()-11),"")</f>
        <v>50441</v>
      </c>
      <c r="C172" s="25" cm="1">
        <f t="array" ref="C172">IF(B172="","",-(INDEX(amort_table_1[Total EMI], ROW()-11)))</f>
        <v>-1210.1571381062756</v>
      </c>
    </row>
    <row r="173" spans="2:3">
      <c r="B173" s="29" cm="1">
        <f t="array" ref="B173">IFERROR(INDEX(amort_table_1[Due date],ROW()-11),"")</f>
        <v>50469</v>
      </c>
      <c r="C173" s="25" cm="1">
        <f t="array" ref="C173">IF(B173="","",-(INDEX(amort_table_1[Total EMI], ROW()-11)))</f>
        <v>-1210.1571381062756</v>
      </c>
    </row>
    <row r="174" spans="2:3">
      <c r="B174" s="29" cm="1">
        <f t="array" ref="B174">IFERROR(INDEX(amort_table_1[Due date],ROW()-11),"")</f>
        <v>50500</v>
      </c>
      <c r="C174" s="25" cm="1">
        <f t="array" ref="C174">IF(B174="","",-(INDEX(amort_table_1[Total EMI], ROW()-11)))</f>
        <v>-1210.1571381062756</v>
      </c>
    </row>
    <row r="175" spans="2:3">
      <c r="B175" s="29" cm="1">
        <f t="array" ref="B175">IFERROR(INDEX(amort_table_1[Due date],ROW()-11),"")</f>
        <v>50530</v>
      </c>
      <c r="C175" s="25" cm="1">
        <f t="array" ref="C175">IF(B175="","",-(INDEX(amort_table_1[Total EMI], ROW()-11)))</f>
        <v>-1210.1571381062756</v>
      </c>
    </row>
    <row r="176" spans="2:3">
      <c r="B176" s="29" cm="1">
        <f t="array" ref="B176">IFERROR(INDEX(amort_table_1[Due date],ROW()-11),"")</f>
        <v>50561</v>
      </c>
      <c r="C176" s="25" cm="1">
        <f t="array" ref="C176">IF(B176="","",-(INDEX(amort_table_1[Total EMI], ROW()-11)))</f>
        <v>-1210.1571381062756</v>
      </c>
    </row>
    <row r="177" spans="2:3">
      <c r="B177" s="29" cm="1">
        <f t="array" ref="B177">IFERROR(INDEX(amort_table_1[Due date],ROW()-11),"")</f>
        <v>50591</v>
      </c>
      <c r="C177" s="25" cm="1">
        <f t="array" ref="C177">IF(B177="","",-(INDEX(amort_table_1[Total EMI], ROW()-11)))</f>
        <v>-1210.1571381062756</v>
      </c>
    </row>
    <row r="178" spans="2:3">
      <c r="B178" s="29" cm="1">
        <f t="array" ref="B178">IFERROR(INDEX(amort_table_1[Due date],ROW()-11),"")</f>
        <v>50622</v>
      </c>
      <c r="C178" s="25" cm="1">
        <f t="array" ref="C178">IF(B178="","",-(INDEX(amort_table_1[Total EMI], ROW()-11)))</f>
        <v>-1210.1571381062756</v>
      </c>
    </row>
    <row r="179" spans="2:3">
      <c r="B179" s="29" cm="1">
        <f t="array" ref="B179">IFERROR(INDEX(amort_table_1[Due date],ROW()-11),"")</f>
        <v>50653</v>
      </c>
      <c r="C179" s="25" cm="1">
        <f t="array" ref="C179">IF(B179="","",-(INDEX(amort_table_1[Total EMI], ROW()-11)))</f>
        <v>-1210.1571381062756</v>
      </c>
    </row>
    <row r="180" spans="2:3">
      <c r="B180" s="29" cm="1">
        <f t="array" ref="B180">IFERROR(INDEX(amort_table_1[Due date],ROW()-11),"")</f>
        <v>50683</v>
      </c>
      <c r="C180" s="25" cm="1">
        <f t="array" ref="C180">IF(B180="","",-(INDEX(amort_table_1[Total EMI], ROW()-11)))</f>
        <v>-1210.1571381062756</v>
      </c>
    </row>
    <row r="181" spans="2:3">
      <c r="B181" s="29" cm="1">
        <f t="array" ref="B181">IFERROR(INDEX(amort_table_1[Due date],ROW()-11),"")</f>
        <v>50714</v>
      </c>
      <c r="C181" s="25" cm="1">
        <f t="array" ref="C181">IF(B181="","",-(INDEX(amort_table_1[Total EMI], ROW()-11)))</f>
        <v>-1210.1571381062756</v>
      </c>
    </row>
    <row r="182" spans="2:3">
      <c r="B182" s="29" cm="1">
        <f t="array" ref="B182">IFERROR(INDEX(amort_table_1[Due date],ROW()-11),"")</f>
        <v>50744</v>
      </c>
      <c r="C182" s="25" cm="1">
        <f t="array" ref="C182">IF(B182="","",-(INDEX(amort_table_1[Total EMI], ROW()-11)))</f>
        <v>-1210.1571381062756</v>
      </c>
    </row>
    <row r="183" spans="2:3">
      <c r="B183" s="29" cm="1">
        <f t="array" ref="B183">IFERROR(INDEX(amort_table_1[Due date],ROW()-11),"")</f>
        <v>50775</v>
      </c>
      <c r="C183" s="25" cm="1">
        <f t="array" ref="C183">IF(B183="","",-(INDEX(amort_table_1[Total EMI], ROW()-11)))</f>
        <v>-1210.1571381062756</v>
      </c>
    </row>
    <row r="184" spans="2:3">
      <c r="B184" s="29" cm="1">
        <f t="array" ref="B184">IFERROR(INDEX(amort_table_1[Due date],ROW()-11),"")</f>
        <v>50806</v>
      </c>
      <c r="C184" s="25" cm="1">
        <f t="array" ref="C184">IF(B184="","",-(INDEX(amort_table_1[Total EMI], ROW()-11)))</f>
        <v>-1210.1571381062756</v>
      </c>
    </row>
    <row r="185" spans="2:3">
      <c r="B185" s="29" cm="1">
        <f t="array" ref="B185">IFERROR(INDEX(amort_table_1[Due date],ROW()-11),"")</f>
        <v>50834</v>
      </c>
      <c r="C185" s="25" cm="1">
        <f t="array" ref="C185">IF(B185="","",-(INDEX(amort_table_1[Total EMI], ROW()-11)))</f>
        <v>-1210.1571381062756</v>
      </c>
    </row>
    <row r="186" spans="2:3">
      <c r="B186" s="29" cm="1">
        <f t="array" ref="B186">IFERROR(INDEX(amort_table_1[Due date],ROW()-11),"")</f>
        <v>50865</v>
      </c>
      <c r="C186" s="25" cm="1">
        <f t="array" ref="C186">IF(B186="","",-(INDEX(amort_table_1[Total EMI], ROW()-11)))</f>
        <v>-1210.1571381062756</v>
      </c>
    </row>
    <row r="187" spans="2:3">
      <c r="B187" s="29" cm="1">
        <f t="array" ref="B187">IFERROR(INDEX(amort_table_1[Due date],ROW()-11),"")</f>
        <v>50895</v>
      </c>
      <c r="C187" s="25" cm="1">
        <f t="array" ref="C187">IF(B187="","",-(INDEX(amort_table_1[Total EMI], ROW()-11)))</f>
        <v>-1210.1571381062756</v>
      </c>
    </row>
    <row r="188" spans="2:3">
      <c r="B188" s="29" cm="1">
        <f t="array" ref="B188">IFERROR(INDEX(amort_table_1[Due date],ROW()-11),"")</f>
        <v>50926</v>
      </c>
      <c r="C188" s="25" cm="1">
        <f t="array" ref="C188">IF(B188="","",-(INDEX(amort_table_1[Total EMI], ROW()-11)))</f>
        <v>-1210.1571381062756</v>
      </c>
    </row>
    <row r="189" spans="2:3">
      <c r="B189" s="29" cm="1">
        <f t="array" ref="B189">IFERROR(INDEX(amort_table_1[Due date],ROW()-11),"")</f>
        <v>50956</v>
      </c>
      <c r="C189" s="25" cm="1">
        <f t="array" ref="C189">IF(B189="","",-(INDEX(amort_table_1[Total EMI], ROW()-11)))</f>
        <v>-1210.1571381062756</v>
      </c>
    </row>
    <row r="190" spans="2:3">
      <c r="B190" s="29" cm="1">
        <f t="array" ref="B190">IFERROR(INDEX(amort_table_1[Due date],ROW()-11),"")</f>
        <v>50987</v>
      </c>
      <c r="C190" s="25" cm="1">
        <f t="array" ref="C190">IF(B190="","",-(INDEX(amort_table_1[Total EMI], ROW()-11)))</f>
        <v>-1210.1571381062756</v>
      </c>
    </row>
    <row r="191" spans="2:3">
      <c r="B191" s="29" cm="1">
        <f t="array" ref="B191">IFERROR(INDEX(amort_table_1[Due date],ROW()-11),"")</f>
        <v>51018</v>
      </c>
      <c r="C191" s="25" cm="1">
        <f t="array" ref="C191">IF(B191="","",-(INDEX(amort_table_1[Total EMI], ROW()-11)))</f>
        <v>-1210.1571381062756</v>
      </c>
    </row>
    <row r="192" spans="2:3">
      <c r="B192" s="29" cm="1">
        <f t="array" ref="B192">IFERROR(INDEX(amort_table_1[Due date],ROW()-11),"")</f>
        <v>51048</v>
      </c>
      <c r="C192" s="25" cm="1">
        <f t="array" ref="C192">IF(B192="","",-(INDEX(amort_table_1[Total EMI], ROW()-11)))</f>
        <v>-1210.1571381062756</v>
      </c>
    </row>
    <row r="193" spans="2:3">
      <c r="B193" s="29" cm="1">
        <f t="array" ref="B193">IFERROR(INDEX(amort_table_1[Due date],ROW()-11),"")</f>
        <v>51079</v>
      </c>
      <c r="C193" s="25" cm="1">
        <f t="array" ref="C193">IF(B193="","",-(INDEX(amort_table_1[Total EMI], ROW()-11)))</f>
        <v>-1210.1571381062756</v>
      </c>
    </row>
    <row r="194" spans="2:3">
      <c r="B194" s="29" cm="1">
        <f t="array" ref="B194">IFERROR(INDEX(amort_table_1[Due date],ROW()-11),"")</f>
        <v>51109</v>
      </c>
      <c r="C194" s="25" cm="1">
        <f t="array" ref="C194">IF(B194="","",-(INDEX(amort_table_1[Total EMI], ROW()-11)))</f>
        <v>-1210.1571381062756</v>
      </c>
    </row>
    <row r="195" spans="2:3">
      <c r="B195" s="29" cm="1">
        <f t="array" ref="B195">IFERROR(INDEX(amort_table_1[Due date],ROW()-11),"")</f>
        <v>51140</v>
      </c>
      <c r="C195" s="25" cm="1">
        <f t="array" ref="C195">IF(B195="","",-(INDEX(amort_table_1[Total EMI], ROW()-11)))</f>
        <v>-1210.1571381062756</v>
      </c>
    </row>
    <row r="196" spans="2:3">
      <c r="B196" s="29" cm="1">
        <f t="array" ref="B196">IFERROR(INDEX(amort_table_1[Due date],ROW()-11),"")</f>
        <v>51171</v>
      </c>
      <c r="C196" s="25" cm="1">
        <f t="array" ref="C196">IF(B196="","",-(INDEX(amort_table_1[Total EMI], ROW()-11)))</f>
        <v>-1210.1571381062756</v>
      </c>
    </row>
    <row r="197" spans="2:3">
      <c r="B197" s="29" cm="1">
        <f t="array" ref="B197">IFERROR(INDEX(amort_table_1[Due date],ROW()-11),"")</f>
        <v>51200</v>
      </c>
      <c r="C197" s="25" cm="1">
        <f t="array" ref="C197">IF(B197="","",-(INDEX(amort_table_1[Total EMI], ROW()-11)))</f>
        <v>-1210.1571381062756</v>
      </c>
    </row>
    <row r="198" spans="2:3">
      <c r="B198" s="29" cm="1">
        <f t="array" ref="B198">IFERROR(INDEX(amort_table_1[Due date],ROW()-11),"")</f>
        <v>51231</v>
      </c>
      <c r="C198" s="25" cm="1">
        <f t="array" ref="C198">IF(B198="","",-(INDEX(amort_table_1[Total EMI], ROW()-11)))</f>
        <v>-1210.1571381062756</v>
      </c>
    </row>
    <row r="199" spans="2:3">
      <c r="B199" s="29" cm="1">
        <f t="array" ref="B199">IFERROR(INDEX(amort_table_1[Due date],ROW()-11),"")</f>
        <v>51261</v>
      </c>
      <c r="C199" s="25" cm="1">
        <f t="array" ref="C199">IF(B199="","",-(INDEX(amort_table_1[Total EMI], ROW()-11)))</f>
        <v>-1210.1571381062756</v>
      </c>
    </row>
    <row r="200" spans="2:3">
      <c r="B200" s="29" cm="1">
        <f t="array" ref="B200">IFERROR(INDEX(amort_table_1[Due date],ROW()-11),"")</f>
        <v>51292</v>
      </c>
      <c r="C200" s="25" cm="1">
        <f t="array" ref="C200">IF(B200="","",-(INDEX(amort_table_1[Total EMI], ROW()-11)))</f>
        <v>-1210.1571381062756</v>
      </c>
    </row>
    <row r="201" spans="2:3">
      <c r="B201" s="29" cm="1">
        <f t="array" ref="B201">IFERROR(INDEX(amort_table_1[Due date],ROW()-11),"")</f>
        <v>51322</v>
      </c>
      <c r="C201" s="25" cm="1">
        <f t="array" ref="C201">IF(B201="","",-(INDEX(amort_table_1[Total EMI], ROW()-11)))</f>
        <v>-1210.1571381062756</v>
      </c>
    </row>
    <row r="202" spans="2:3">
      <c r="B202" s="29" cm="1">
        <f t="array" ref="B202">IFERROR(INDEX(amort_table_1[Due date],ROW()-11),"")</f>
        <v>51353</v>
      </c>
      <c r="C202" s="25" cm="1">
        <f t="array" ref="C202">IF(B202="","",-(INDEX(amort_table_1[Total EMI], ROW()-11)))</f>
        <v>-1210.1571381062756</v>
      </c>
    </row>
    <row r="203" spans="2:3">
      <c r="B203" s="29" cm="1">
        <f t="array" ref="B203">IFERROR(INDEX(amort_table_1[Due date],ROW()-11),"")</f>
        <v>51384</v>
      </c>
      <c r="C203" s="25" cm="1">
        <f t="array" ref="C203">IF(B203="","",-(INDEX(amort_table_1[Total EMI], ROW()-11)))</f>
        <v>-1210.1571381062756</v>
      </c>
    </row>
    <row r="204" spans="2:3">
      <c r="B204" s="29" cm="1">
        <f t="array" ref="B204">IFERROR(INDEX(amort_table_1[Due date],ROW()-11),"")</f>
        <v>51414</v>
      </c>
      <c r="C204" s="25" cm="1">
        <f t="array" ref="C204">IF(B204="","",-(INDEX(amort_table_1[Total EMI], ROW()-11)))</f>
        <v>-1210.1571381062756</v>
      </c>
    </row>
    <row r="205" spans="2:3">
      <c r="B205" s="29" cm="1">
        <f t="array" ref="B205">IFERROR(INDEX(amort_table_1[Due date],ROW()-11),"")</f>
        <v>51445</v>
      </c>
      <c r="C205" s="25" cm="1">
        <f t="array" ref="C205">IF(B205="","",-(INDEX(amort_table_1[Total EMI], ROW()-11)))</f>
        <v>-1210.1571381062756</v>
      </c>
    </row>
    <row r="206" spans="2:3">
      <c r="B206" s="29" cm="1">
        <f t="array" ref="B206">IFERROR(INDEX(amort_table_1[Due date],ROW()-11),"")</f>
        <v>51475</v>
      </c>
      <c r="C206" s="25" cm="1">
        <f t="array" ref="C206">IF(B206="","",-(INDEX(amort_table_1[Total EMI], ROW()-11)))</f>
        <v>-1210.1571381062756</v>
      </c>
    </row>
    <row r="207" spans="2:3">
      <c r="B207" s="29" cm="1">
        <f t="array" ref="B207">IFERROR(INDEX(amort_table_1[Due date],ROW()-11),"")</f>
        <v>51506</v>
      </c>
      <c r="C207" s="25" cm="1">
        <f t="array" ref="C207">IF(B207="","",-(INDEX(amort_table_1[Total EMI], ROW()-11)))</f>
        <v>-1210.1571381062756</v>
      </c>
    </row>
    <row r="208" spans="2:3">
      <c r="B208" s="29" cm="1">
        <f t="array" ref="B208">IFERROR(INDEX(amort_table_1[Due date],ROW()-11),"")</f>
        <v>51537</v>
      </c>
      <c r="C208" s="25" cm="1">
        <f t="array" ref="C208">IF(B208="","",-(INDEX(amort_table_1[Total EMI], ROW()-11)))</f>
        <v>-1210.1571381062756</v>
      </c>
    </row>
    <row r="209" spans="2:3">
      <c r="B209" s="29" cm="1">
        <f t="array" ref="B209">IFERROR(INDEX(amort_table_1[Due date],ROW()-11),"")</f>
        <v>51565</v>
      </c>
      <c r="C209" s="25" cm="1">
        <f t="array" ref="C209">IF(B209="","",-(INDEX(amort_table_1[Total EMI], ROW()-11)))</f>
        <v>-1210.1571381062756</v>
      </c>
    </row>
    <row r="210" spans="2:3">
      <c r="B210" s="29" cm="1">
        <f t="array" ref="B210">IFERROR(INDEX(amort_table_1[Due date],ROW()-11),"")</f>
        <v>51596</v>
      </c>
      <c r="C210" s="25" cm="1">
        <f t="array" ref="C210">IF(B210="","",-(INDEX(amort_table_1[Total EMI], ROW()-11)))</f>
        <v>-1210.1571381062756</v>
      </c>
    </row>
    <row r="211" spans="2:3">
      <c r="B211" s="29" cm="1">
        <f t="array" ref="B211">IFERROR(INDEX(amort_table_1[Due date],ROW()-11),"")</f>
        <v>51626</v>
      </c>
      <c r="C211" s="25" cm="1">
        <f t="array" ref="C211">IF(B211="","",-(INDEX(amort_table_1[Total EMI], ROW()-11)))</f>
        <v>-1210.1571381062756</v>
      </c>
    </row>
    <row r="212" spans="2:3">
      <c r="B212" s="29" cm="1">
        <f t="array" ref="B212">IFERROR(INDEX(amort_table_1[Due date],ROW()-11),"")</f>
        <v>51657</v>
      </c>
      <c r="C212" s="25" cm="1">
        <f t="array" ref="C212">IF(B212="","",-(INDEX(amort_table_1[Total EMI], ROW()-11)))</f>
        <v>-1210.1571381062756</v>
      </c>
    </row>
    <row r="213" spans="2:3">
      <c r="B213" s="29" cm="1">
        <f t="array" ref="B213">IFERROR(INDEX(amort_table_1[Due date],ROW()-11),"")</f>
        <v>51687</v>
      </c>
      <c r="C213" s="25" cm="1">
        <f t="array" ref="C213">IF(B213="","",-(INDEX(amort_table_1[Total EMI], ROW()-11)))</f>
        <v>-1210.1571381062756</v>
      </c>
    </row>
    <row r="214" spans="2:3">
      <c r="B214" s="29" cm="1">
        <f t="array" ref="B214">IFERROR(INDEX(amort_table_1[Due date],ROW()-11),"")</f>
        <v>51718</v>
      </c>
      <c r="C214" s="25" cm="1">
        <f t="array" ref="C214">IF(B214="","",-(INDEX(amort_table_1[Total EMI], ROW()-11)))</f>
        <v>-1210.1571381062756</v>
      </c>
    </row>
    <row r="215" spans="2:3">
      <c r="B215" s="29" cm="1">
        <f t="array" ref="B215">IFERROR(INDEX(amort_table_1[Due date],ROW()-11),"")</f>
        <v>51749</v>
      </c>
      <c r="C215" s="25" cm="1">
        <f t="array" ref="C215">IF(B215="","",-(INDEX(amort_table_1[Total EMI], ROW()-11)))</f>
        <v>-1210.1571381062756</v>
      </c>
    </row>
    <row r="216" spans="2:3">
      <c r="B216" s="29" cm="1">
        <f t="array" ref="B216">IFERROR(INDEX(amort_table_1[Due date],ROW()-11),"")</f>
        <v>51779</v>
      </c>
      <c r="C216" s="25" cm="1">
        <f t="array" ref="C216">IF(B216="","",-(INDEX(amort_table_1[Total EMI], ROW()-11)))</f>
        <v>-1210.1571381062756</v>
      </c>
    </row>
    <row r="217" spans="2:3">
      <c r="B217" s="29" cm="1">
        <f t="array" ref="B217">IFERROR(INDEX(amort_table_1[Due date],ROW()-11),"")</f>
        <v>51810</v>
      </c>
      <c r="C217" s="25" cm="1">
        <f t="array" ref="C217">IF(B217="","",-(INDEX(amort_table_1[Total EMI], ROW()-11)))</f>
        <v>-1210.1571381062756</v>
      </c>
    </row>
    <row r="218" spans="2:3">
      <c r="B218" s="29" cm="1">
        <f t="array" ref="B218">IFERROR(INDEX(amort_table_1[Due date],ROW()-11),"")</f>
        <v>51840</v>
      </c>
      <c r="C218" s="25" cm="1">
        <f t="array" ref="C218">IF(B218="","",-(INDEX(amort_table_1[Total EMI], ROW()-11)))</f>
        <v>-1210.1571381062756</v>
      </c>
    </row>
    <row r="219" spans="2:3">
      <c r="B219" s="29" cm="1">
        <f t="array" ref="B219">IFERROR(INDEX(amort_table_1[Due date],ROW()-11),"")</f>
        <v>51871</v>
      </c>
      <c r="C219" s="25" cm="1">
        <f t="array" ref="C219">IF(B219="","",-(INDEX(amort_table_1[Total EMI], ROW()-11)))</f>
        <v>-1210.1571381062756</v>
      </c>
    </row>
    <row r="220" spans="2:3">
      <c r="B220" s="29" cm="1">
        <f t="array" ref="B220">IFERROR(INDEX(amort_table_1[Due date],ROW()-11),"")</f>
        <v>51902</v>
      </c>
      <c r="C220" s="25" cm="1">
        <f t="array" ref="C220">IF(B220="","",-(INDEX(amort_table_1[Total EMI], ROW()-11)))</f>
        <v>-1210.1571381062756</v>
      </c>
    </row>
    <row r="221" spans="2:3">
      <c r="B221" s="29" cm="1">
        <f t="array" ref="B221">IFERROR(INDEX(amort_table_1[Due date],ROW()-11),"")</f>
        <v>51930</v>
      </c>
      <c r="C221" s="25" cm="1">
        <f t="array" ref="C221">IF(B221="","",-(INDEX(amort_table_1[Total EMI], ROW()-11)))</f>
        <v>-1210.1571381062756</v>
      </c>
    </row>
    <row r="222" spans="2:3">
      <c r="B222" s="29" cm="1">
        <f t="array" ref="B222">IFERROR(INDEX(amort_table_1[Due date],ROW()-11),"")</f>
        <v>51961</v>
      </c>
      <c r="C222" s="25" cm="1">
        <f t="array" ref="C222">IF(B222="","",-(INDEX(amort_table_1[Total EMI], ROW()-11)))</f>
        <v>-1210.1571381062756</v>
      </c>
    </row>
    <row r="223" spans="2:3">
      <c r="B223" s="29" cm="1">
        <f t="array" ref="B223">IFERROR(INDEX(amort_table_1[Due date],ROW()-11),"")</f>
        <v>51991</v>
      </c>
      <c r="C223" s="25" cm="1">
        <f t="array" ref="C223">IF(B223="","",-(INDEX(amort_table_1[Total EMI], ROW()-11)))</f>
        <v>-1210.1571381062756</v>
      </c>
    </row>
    <row r="224" spans="2:3">
      <c r="B224" s="29" cm="1">
        <f t="array" ref="B224">IFERROR(INDEX(amort_table_1[Due date],ROW()-11),"")</f>
        <v>52022</v>
      </c>
      <c r="C224" s="25" cm="1">
        <f t="array" ref="C224">IF(B224="","",-(INDEX(amort_table_1[Total EMI], ROW()-11)))</f>
        <v>-1210.1571381062756</v>
      </c>
    </row>
    <row r="225" spans="2:3">
      <c r="B225" s="29" cm="1">
        <f t="array" ref="B225">IFERROR(INDEX(amort_table_1[Due date],ROW()-11),"")</f>
        <v>52052</v>
      </c>
      <c r="C225" s="25" cm="1">
        <f t="array" ref="C225">IF(B225="","",-(INDEX(amort_table_1[Total EMI], ROW()-11)))</f>
        <v>-1210.1571381062756</v>
      </c>
    </row>
    <row r="226" spans="2:3">
      <c r="B226" s="29" cm="1">
        <f t="array" ref="B226">IFERROR(INDEX(amort_table_1[Due date],ROW()-11),"")</f>
        <v>52083</v>
      </c>
      <c r="C226" s="25" cm="1">
        <f t="array" ref="C226">IF(B226="","",-(INDEX(amort_table_1[Total EMI], ROW()-11)))</f>
        <v>-1210.1571381062756</v>
      </c>
    </row>
    <row r="227" spans="2:3">
      <c r="B227" s="29" cm="1">
        <f t="array" ref="B227">IFERROR(INDEX(amort_table_1[Due date],ROW()-11),"")</f>
        <v>52114</v>
      </c>
      <c r="C227" s="25" cm="1">
        <f t="array" ref="C227">IF(B227="","",-(INDEX(amort_table_1[Total EMI], ROW()-11)))</f>
        <v>-1210.1571381062756</v>
      </c>
    </row>
    <row r="228" spans="2:3">
      <c r="B228" s="29" cm="1">
        <f t="array" ref="B228">IFERROR(INDEX(amort_table_1[Due date],ROW()-11),"")</f>
        <v>52144</v>
      </c>
      <c r="C228" s="25" cm="1">
        <f t="array" ref="C228">IF(B228="","",-(INDEX(amort_table_1[Total EMI], ROW()-11)))</f>
        <v>-1210.1571381062756</v>
      </c>
    </row>
    <row r="229" spans="2:3">
      <c r="B229" s="29" cm="1">
        <f t="array" ref="B229">IFERROR(INDEX(amort_table_1[Due date],ROW()-11),"")</f>
        <v>52175</v>
      </c>
      <c r="C229" s="25" cm="1">
        <f t="array" ref="C229">IF(B229="","",-(INDEX(amort_table_1[Total EMI], ROW()-11)))</f>
        <v>-1210.1571381062756</v>
      </c>
    </row>
    <row r="230" spans="2:3">
      <c r="B230" s="29" cm="1">
        <f t="array" ref="B230">IFERROR(INDEX(amort_table_1[Due date],ROW()-11),"")</f>
        <v>52205</v>
      </c>
      <c r="C230" s="25" cm="1">
        <f t="array" ref="C230">IF(B230="","",-(INDEX(amort_table_1[Total EMI], ROW()-11)))</f>
        <v>-1210.1571381062756</v>
      </c>
    </row>
    <row r="231" spans="2:3">
      <c r="B231" s="29" cm="1">
        <f t="array" ref="B231">IFERROR(INDEX(amort_table_1[Due date],ROW()-11),"")</f>
        <v>52236</v>
      </c>
      <c r="C231" s="25" cm="1">
        <f t="array" ref="C231">IF(B231="","",-(INDEX(amort_table_1[Total EMI], ROW()-11)))</f>
        <v>-1210.1571381062756</v>
      </c>
    </row>
    <row r="232" spans="2:3">
      <c r="B232" s="29" cm="1">
        <f t="array" ref="B232">IFERROR(INDEX(amort_table_1[Due date],ROW()-11),"")</f>
        <v>52267</v>
      </c>
      <c r="C232" s="25" cm="1">
        <f t="array" ref="C232">IF(B232="","",-(INDEX(amort_table_1[Total EMI], ROW()-11)))</f>
        <v>-1210.1571381062756</v>
      </c>
    </row>
    <row r="233" spans="2:3">
      <c r="B233" s="29" cm="1">
        <f t="array" ref="B233">IFERROR(INDEX(amort_table_1[Due date],ROW()-11),"")</f>
        <v>52295</v>
      </c>
      <c r="C233" s="25" cm="1">
        <f t="array" ref="C233">IF(B233="","",-(INDEX(amort_table_1[Total EMI], ROW()-11)))</f>
        <v>-1210.1571381062756</v>
      </c>
    </row>
    <row r="234" spans="2:3">
      <c r="B234" s="29" cm="1">
        <f t="array" ref="B234">IFERROR(INDEX(amort_table_1[Due date],ROW()-11),"")</f>
        <v>52326</v>
      </c>
      <c r="C234" s="25" cm="1">
        <f t="array" ref="C234">IF(B234="","",-(INDEX(amort_table_1[Total EMI], ROW()-11)))</f>
        <v>-1210.1571381062756</v>
      </c>
    </row>
    <row r="235" spans="2:3">
      <c r="B235" s="29" cm="1">
        <f t="array" ref="B235">IFERROR(INDEX(amort_table_1[Due date],ROW()-11),"")</f>
        <v>52356</v>
      </c>
      <c r="C235" s="25" cm="1">
        <f t="array" ref="C235">IF(B235="","",-(INDEX(amort_table_1[Total EMI], ROW()-11)))</f>
        <v>-1210.1571381062756</v>
      </c>
    </row>
    <row r="236" spans="2:3">
      <c r="B236" s="29" cm="1">
        <f t="array" ref="B236">IFERROR(INDEX(amort_table_1[Due date],ROW()-11),"")</f>
        <v>52387</v>
      </c>
      <c r="C236" s="25" cm="1">
        <f t="array" ref="C236">IF(B236="","",-(INDEX(amort_table_1[Total EMI], ROW()-11)))</f>
        <v>-1210.1571381062756</v>
      </c>
    </row>
    <row r="237" spans="2:3">
      <c r="B237" s="29" cm="1">
        <f t="array" ref="B237">IFERROR(INDEX(amort_table_1[Due date],ROW()-11),"")</f>
        <v>52417</v>
      </c>
      <c r="C237" s="25" cm="1">
        <f t="array" ref="C237">IF(B237="","",-(INDEX(amort_table_1[Total EMI], ROW()-11)))</f>
        <v>-1210.1571381062756</v>
      </c>
    </row>
    <row r="238" spans="2:3">
      <c r="B238" s="29" cm="1">
        <f t="array" ref="B238">IFERROR(INDEX(amort_table_1[Due date],ROW()-11),"")</f>
        <v>52448</v>
      </c>
      <c r="C238" s="25" cm="1">
        <f t="array" ref="C238">IF(B238="","",-(INDEX(amort_table_1[Total EMI], ROW()-11)))</f>
        <v>-1210.1571381062756</v>
      </c>
    </row>
    <row r="239" spans="2:3">
      <c r="B239" s="29" cm="1">
        <f t="array" ref="B239">IFERROR(INDEX(amort_table_1[Due date],ROW()-11),"")</f>
        <v>52479</v>
      </c>
      <c r="C239" s="25" cm="1">
        <f t="array" ref="C239">IF(B239="","",-(INDEX(amort_table_1[Total EMI], ROW()-11)))</f>
        <v>-1210.1571381062756</v>
      </c>
    </row>
    <row r="240" spans="2:3">
      <c r="B240" s="29" cm="1">
        <f t="array" ref="B240">IFERROR(INDEX(amort_table_1[Due date],ROW()-11),"")</f>
        <v>52509</v>
      </c>
      <c r="C240" s="25" cm="1">
        <f t="array" ref="C240">IF(B240="","",-(INDEX(amort_table_1[Total EMI], ROW()-11)))</f>
        <v>-1210.1571381062756</v>
      </c>
    </row>
    <row r="241" spans="2:3">
      <c r="B241" s="29" cm="1">
        <f t="array" ref="B241">IFERROR(INDEX(amort_table_1[Due date],ROW()-11),"")</f>
        <v>52540</v>
      </c>
      <c r="C241" s="25" cm="1">
        <f t="array" ref="C241">IF(B241="","",-(INDEX(amort_table_1[Total EMI], ROW()-11)))</f>
        <v>-1210.1571381062756</v>
      </c>
    </row>
    <row r="242" spans="2:3">
      <c r="B242" s="29" cm="1">
        <f t="array" ref="B242">IFERROR(INDEX(amort_table_1[Due date],ROW()-11),"")</f>
        <v>52570</v>
      </c>
      <c r="C242" s="25" cm="1">
        <f t="array" ref="C242">IF(B242="","",-(INDEX(amort_table_1[Total EMI], ROW()-11)))</f>
        <v>-1210.1571381062756</v>
      </c>
    </row>
    <row r="243" spans="2:3">
      <c r="B243" s="29" cm="1">
        <f t="array" ref="B243">IFERROR(INDEX(amort_table_1[Due date],ROW()-11),"")</f>
        <v>52601</v>
      </c>
      <c r="C243" s="25" cm="1">
        <f t="array" ref="C243">IF(B243="","",-(INDEX(amort_table_1[Total EMI], ROW()-11)))</f>
        <v>-1210.1571381062756</v>
      </c>
    </row>
    <row r="244" spans="2:3">
      <c r="B244" s="29" cm="1">
        <f t="array" ref="B244">IFERROR(INDEX(amort_table_1[Due date],ROW()-11),"")</f>
        <v>52632</v>
      </c>
      <c r="C244" s="25" cm="1">
        <f t="array" ref="C244">IF(B244="","",-(INDEX(amort_table_1[Total EMI], ROW()-11)))</f>
        <v>-1210.1571381062756</v>
      </c>
    </row>
    <row r="245" spans="2:3">
      <c r="B245" s="29" cm="1">
        <f t="array" ref="B245">IFERROR(INDEX(amort_table_1[Due date],ROW()-11),"")</f>
        <v>52661</v>
      </c>
      <c r="C245" s="25" cm="1">
        <f t="array" ref="C245">IF(B245="","",-(INDEX(amort_table_1[Total EMI], ROW()-11)))</f>
        <v>-1210.1571381062756</v>
      </c>
    </row>
    <row r="246" spans="2:3">
      <c r="B246" s="29" cm="1">
        <f t="array" ref="B246">IFERROR(INDEX(amort_table_1[Due date],ROW()-11),"")</f>
        <v>52692</v>
      </c>
      <c r="C246" s="25" cm="1">
        <f t="array" ref="C246">IF(B246="","",-(INDEX(amort_table_1[Total EMI], ROW()-11)))</f>
        <v>-1210.1571381062756</v>
      </c>
    </row>
    <row r="247" spans="2:3">
      <c r="B247" s="29" cm="1">
        <f t="array" ref="B247">IFERROR(INDEX(amort_table_1[Due date],ROW()-11),"")</f>
        <v>52722</v>
      </c>
      <c r="C247" s="25" cm="1">
        <f t="array" ref="C247">IF(B247="","",-(INDEX(amort_table_1[Total EMI], ROW()-11)))</f>
        <v>-1210.1571381062756</v>
      </c>
    </row>
    <row r="248" spans="2:3">
      <c r="B248" s="29" cm="1">
        <f t="array" ref="B248">IFERROR(INDEX(amort_table_1[Due date],ROW()-11),"")</f>
        <v>52753</v>
      </c>
      <c r="C248" s="25" cm="1">
        <f t="array" ref="C248">IF(B248="","",-(INDEX(amort_table_1[Total EMI], ROW()-11)))</f>
        <v>-1210.1571381062756</v>
      </c>
    </row>
    <row r="249" spans="2:3">
      <c r="B249" s="29" cm="1">
        <f t="array" ref="B249">IFERROR(INDEX(amort_table_1[Due date],ROW()-11),"")</f>
        <v>52783</v>
      </c>
      <c r="C249" s="25" cm="1">
        <f t="array" ref="C249">IF(B249="","",-(INDEX(amort_table_1[Total EMI], ROW()-11)))</f>
        <v>-1210.1571381062756</v>
      </c>
    </row>
    <row r="250" spans="2:3">
      <c r="B250" s="29" cm="1">
        <f t="array" ref="B250">IFERROR(INDEX(amort_table_1[Due date],ROW()-11),"")</f>
        <v>52814</v>
      </c>
      <c r="C250" s="25" cm="1">
        <f t="array" ref="C250">IF(B250="","",-(INDEX(amort_table_1[Total EMI], ROW()-11)))</f>
        <v>-1210.1571381062756</v>
      </c>
    </row>
    <row r="251" spans="2:3">
      <c r="B251" s="29" cm="1">
        <f t="array" ref="B251">IFERROR(INDEX(amort_table_1[Due date],ROW()-11),"")</f>
        <v>52845</v>
      </c>
      <c r="C251" s="25" cm="1">
        <f t="array" ref="C251">IF(B251="","",-(INDEX(amort_table_1[Total EMI], ROW()-11)))</f>
        <v>-1210.1571381062756</v>
      </c>
    </row>
    <row r="252" spans="2:3">
      <c r="B252" s="29" cm="1">
        <f t="array" ref="B252">IFERROR(INDEX(amort_table_1[Due date],ROW()-11),"")</f>
        <v>52875</v>
      </c>
      <c r="C252" s="25" cm="1">
        <f t="array" ref="C252">IF(B252="","",-(INDEX(amort_table_1[Total EMI], ROW()-11)))</f>
        <v>-1210.1571381062756</v>
      </c>
    </row>
    <row r="253" spans="2:3">
      <c r="B253" s="29" cm="1">
        <f t="array" ref="B253">IFERROR(INDEX(amort_table_1[Due date],ROW()-11),"")</f>
        <v>52906</v>
      </c>
      <c r="C253" s="25" cm="1">
        <f t="array" ref="C253">IF(B253="","",-(INDEX(amort_table_1[Total EMI], ROW()-11)))</f>
        <v>-1210.1571381062756</v>
      </c>
    </row>
    <row r="254" spans="2:3">
      <c r="B254" s="29" cm="1">
        <f t="array" ref="B254">IFERROR(INDEX(amort_table_1[Due date],ROW()-11),"")</f>
        <v>52936</v>
      </c>
      <c r="C254" s="25" cm="1">
        <f t="array" ref="C254">IF(B254="","",-(INDEX(amort_table_1[Total EMI], ROW()-11)))</f>
        <v>-1210.1571381062756</v>
      </c>
    </row>
    <row r="255" spans="2:3">
      <c r="B255" s="29" cm="1">
        <f t="array" ref="B255">IFERROR(INDEX(amort_table_1[Due date],ROW()-11),"")</f>
        <v>52967</v>
      </c>
      <c r="C255" s="25" cm="1">
        <f t="array" ref="C255">IF(B255="","",-(INDEX(amort_table_1[Total EMI], ROW()-11)))</f>
        <v>-1210.1571381062756</v>
      </c>
    </row>
    <row r="256" spans="2:3">
      <c r="B256" s="29" cm="1">
        <f t="array" ref="B256">IFERROR(INDEX(amort_table_1[Due date],ROW()-11),"")</f>
        <v>52998</v>
      </c>
      <c r="C256" s="25" cm="1">
        <f t="array" ref="C256">IF(B256="","",-(INDEX(amort_table_1[Total EMI], ROW()-11)))</f>
        <v>-1210.1571381062756</v>
      </c>
    </row>
    <row r="257" spans="2:3">
      <c r="B257" s="29" cm="1">
        <f t="array" ref="B257">IFERROR(INDEX(amort_table_1[Due date],ROW()-11),"")</f>
        <v>53026</v>
      </c>
      <c r="C257" s="25" cm="1">
        <f t="array" ref="C257">IF(B257="","",-(INDEX(amort_table_1[Total EMI], ROW()-11)))</f>
        <v>-1210.1571381062756</v>
      </c>
    </row>
    <row r="258" spans="2:3">
      <c r="B258" s="29" cm="1">
        <f t="array" ref="B258">IFERROR(INDEX(amort_table_1[Due date],ROW()-11),"")</f>
        <v>53057</v>
      </c>
      <c r="C258" s="25" cm="1">
        <f t="array" ref="C258">IF(B258="","",-(INDEX(amort_table_1[Total EMI], ROW()-11)))</f>
        <v>-1210.1571381062756</v>
      </c>
    </row>
    <row r="259" spans="2:3">
      <c r="B259" s="29" cm="1">
        <f t="array" ref="B259">IFERROR(INDEX(amort_table_1[Due date],ROW()-11),"")</f>
        <v>53087</v>
      </c>
      <c r="C259" s="25" cm="1">
        <f t="array" ref="C259">IF(B259="","",-(INDEX(amort_table_1[Total EMI], ROW()-11)))</f>
        <v>-1210.1571381062756</v>
      </c>
    </row>
    <row r="260" spans="2:3">
      <c r="B260" s="29" cm="1">
        <f t="array" ref="B260">IFERROR(INDEX(amort_table_1[Due date],ROW()-11),"")</f>
        <v>53118</v>
      </c>
      <c r="C260" s="25" cm="1">
        <f t="array" ref="C260">IF(B260="","",-(INDEX(amort_table_1[Total EMI], ROW()-11)))</f>
        <v>-1210.1571381062756</v>
      </c>
    </row>
    <row r="261" spans="2:3">
      <c r="B261" s="29" cm="1">
        <f t="array" ref="B261">IFERROR(INDEX(amort_table_1[Due date],ROW()-11),"")</f>
        <v>53148</v>
      </c>
      <c r="C261" s="25" cm="1">
        <f t="array" ref="C261">IF(B261="","",-(INDEX(amort_table_1[Total EMI], ROW()-11)))</f>
        <v>-1210.1571381062756</v>
      </c>
    </row>
    <row r="262" spans="2:3">
      <c r="B262" s="29" cm="1">
        <f t="array" ref="B262">IFERROR(INDEX(amort_table_1[Due date],ROW()-11),"")</f>
        <v>53179</v>
      </c>
      <c r="C262" s="25" cm="1">
        <f t="array" ref="C262">IF(B262="","",-(INDEX(amort_table_1[Total EMI], ROW()-11)))</f>
        <v>-1210.1571381062756</v>
      </c>
    </row>
    <row r="263" spans="2:3">
      <c r="B263" s="29" cm="1">
        <f t="array" ref="B263">IFERROR(INDEX(amort_table_1[Due date],ROW()-11),"")</f>
        <v>53210</v>
      </c>
      <c r="C263" s="25" cm="1">
        <f t="array" ref="C263">IF(B263="","",-(INDEX(amort_table_1[Total EMI], ROW()-11)))</f>
        <v>-1210.1571381062756</v>
      </c>
    </row>
    <row r="264" spans="2:3">
      <c r="B264" s="29" cm="1">
        <f t="array" ref="B264">IFERROR(INDEX(amort_table_1[Due date],ROW()-11),"")</f>
        <v>53240</v>
      </c>
      <c r="C264" s="25" cm="1">
        <f t="array" ref="C264">IF(B264="","",-(INDEX(amort_table_1[Total EMI], ROW()-11)))</f>
        <v>-1210.1571381062756</v>
      </c>
    </row>
    <row r="265" spans="2:3">
      <c r="B265" s="29" cm="1">
        <f t="array" ref="B265">IFERROR(INDEX(amort_table_1[Due date],ROW()-11),"")</f>
        <v>53271</v>
      </c>
      <c r="C265" s="25" cm="1">
        <f t="array" ref="C265">IF(B265="","",-(INDEX(amort_table_1[Total EMI], ROW()-11)))</f>
        <v>-1210.1571381062756</v>
      </c>
    </row>
    <row r="266" spans="2:3">
      <c r="B266" s="29" cm="1">
        <f t="array" ref="B266">IFERROR(INDEX(amort_table_1[Due date],ROW()-11),"")</f>
        <v>53301</v>
      </c>
      <c r="C266" s="25" cm="1">
        <f t="array" ref="C266">IF(B266="","",-(INDEX(amort_table_1[Total EMI], ROW()-11)))</f>
        <v>-1210.1571381062756</v>
      </c>
    </row>
    <row r="267" spans="2:3">
      <c r="B267" s="29" cm="1">
        <f t="array" ref="B267">IFERROR(INDEX(amort_table_1[Due date],ROW()-11),"")</f>
        <v>53332</v>
      </c>
      <c r="C267" s="25" cm="1">
        <f t="array" ref="C267">IF(B267="","",-(INDEX(amort_table_1[Total EMI], ROW()-11)))</f>
        <v>-1210.1571381062756</v>
      </c>
    </row>
    <row r="268" spans="2:3">
      <c r="B268" s="29" cm="1">
        <f t="array" ref="B268">IFERROR(INDEX(amort_table_1[Due date],ROW()-11),"")</f>
        <v>53363</v>
      </c>
      <c r="C268" s="25" cm="1">
        <f t="array" ref="C268">IF(B268="","",-(INDEX(amort_table_1[Total EMI], ROW()-11)))</f>
        <v>-1210.1571381062756</v>
      </c>
    </row>
    <row r="269" spans="2:3">
      <c r="B269" s="29" cm="1">
        <f t="array" ref="B269">IFERROR(INDEX(amort_table_1[Due date],ROW()-11),"")</f>
        <v>53391</v>
      </c>
      <c r="C269" s="25" cm="1">
        <f t="array" ref="C269">IF(B269="","",-(INDEX(amort_table_1[Total EMI], ROW()-11)))</f>
        <v>-1210.1571381062756</v>
      </c>
    </row>
    <row r="270" spans="2:3">
      <c r="B270" s="29" cm="1">
        <f t="array" ref="B270">IFERROR(INDEX(amort_table_1[Due date],ROW()-11),"")</f>
        <v>53422</v>
      </c>
      <c r="C270" s="25" cm="1">
        <f t="array" ref="C270">IF(B270="","",-(INDEX(amort_table_1[Total EMI], ROW()-11)))</f>
        <v>-1210.1571381062756</v>
      </c>
    </row>
    <row r="271" spans="2:3">
      <c r="B271" s="29" cm="1">
        <f t="array" ref="B271">IFERROR(INDEX(amort_table_1[Due date],ROW()-11),"")</f>
        <v>53452</v>
      </c>
      <c r="C271" s="25" cm="1">
        <f t="array" ref="C271">IF(B271="","",-(INDEX(amort_table_1[Total EMI], ROW()-11)))</f>
        <v>-1210.1571381062756</v>
      </c>
    </row>
    <row r="272" spans="2:3">
      <c r="B272" s="29" cm="1">
        <f t="array" ref="B272">IFERROR(INDEX(amort_table_1[Due date],ROW()-11),"")</f>
        <v>53483</v>
      </c>
      <c r="C272" s="25" cm="1">
        <f t="array" ref="C272">IF(B272="","",-(INDEX(amort_table_1[Total EMI], ROW()-11)))</f>
        <v>-1210.1571381062756</v>
      </c>
    </row>
    <row r="273" spans="2:3">
      <c r="B273" s="29" cm="1">
        <f t="array" ref="B273">IFERROR(INDEX(amort_table_1[Due date],ROW()-11),"")</f>
        <v>53513</v>
      </c>
      <c r="C273" s="25" cm="1">
        <f t="array" ref="C273">IF(B273="","",-(INDEX(amort_table_1[Total EMI], ROW()-11)))</f>
        <v>-1210.1571381062756</v>
      </c>
    </row>
    <row r="274" spans="2:3">
      <c r="B274" s="29" cm="1">
        <f t="array" ref="B274">IFERROR(INDEX(amort_table_1[Due date],ROW()-11),"")</f>
        <v>53544</v>
      </c>
      <c r="C274" s="25" cm="1">
        <f t="array" ref="C274">IF(B274="","",-(INDEX(amort_table_1[Total EMI], ROW()-11)))</f>
        <v>-1210.1571381062756</v>
      </c>
    </row>
    <row r="275" spans="2:3">
      <c r="B275" s="29" cm="1">
        <f t="array" ref="B275">IFERROR(INDEX(amort_table_1[Due date],ROW()-11),"")</f>
        <v>53575</v>
      </c>
      <c r="C275" s="25" cm="1">
        <f t="array" ref="C275">IF(B275="","",-(INDEX(amort_table_1[Total EMI], ROW()-11)))</f>
        <v>-1210.1571381062756</v>
      </c>
    </row>
    <row r="276" spans="2:3">
      <c r="B276" s="29" cm="1">
        <f t="array" ref="B276">IFERROR(INDEX(amort_table_1[Due date],ROW()-11),"")</f>
        <v>53605</v>
      </c>
      <c r="C276" s="25" cm="1">
        <f t="array" ref="C276">IF(B276="","",-(INDEX(amort_table_1[Total EMI], ROW()-11)))</f>
        <v>-1210.1571381062756</v>
      </c>
    </row>
    <row r="277" spans="2:3">
      <c r="B277" s="29" cm="1">
        <f t="array" ref="B277">IFERROR(INDEX(amort_table_1[Due date],ROW()-11),"")</f>
        <v>53636</v>
      </c>
      <c r="C277" s="25" cm="1">
        <f t="array" ref="C277">IF(B277="","",-(INDEX(amort_table_1[Total EMI], ROW()-11)))</f>
        <v>-1210.1571381062756</v>
      </c>
    </row>
    <row r="278" spans="2:3">
      <c r="B278" s="29" cm="1">
        <f t="array" ref="B278">IFERROR(INDEX(amort_table_1[Due date],ROW()-11),"")</f>
        <v>53666</v>
      </c>
      <c r="C278" s="25" cm="1">
        <f t="array" ref="C278">IF(B278="","",-(INDEX(amort_table_1[Total EMI], ROW()-11)))</f>
        <v>-1210.1571381062756</v>
      </c>
    </row>
    <row r="279" spans="2:3">
      <c r="B279" s="29" cm="1">
        <f t="array" ref="B279">IFERROR(INDEX(amort_table_1[Due date],ROW()-11),"")</f>
        <v>53697</v>
      </c>
      <c r="C279" s="25" cm="1">
        <f t="array" ref="C279">IF(B279="","",-(INDEX(amort_table_1[Total EMI], ROW()-11)))</f>
        <v>-1210.1571381062756</v>
      </c>
    </row>
    <row r="280" spans="2:3">
      <c r="B280" s="29" cm="1">
        <f t="array" ref="B280">IFERROR(INDEX(amort_table_1[Due date],ROW()-11),"")</f>
        <v>53728</v>
      </c>
      <c r="C280" s="25" cm="1">
        <f t="array" ref="C280">IF(B280="","",-(INDEX(amort_table_1[Total EMI], ROW()-11)))</f>
        <v>-1210.1571381062756</v>
      </c>
    </row>
    <row r="281" spans="2:3">
      <c r="B281" s="29" cm="1">
        <f t="array" ref="B281">IFERROR(INDEX(amort_table_1[Due date],ROW()-11),"")</f>
        <v>53756</v>
      </c>
      <c r="C281" s="25" cm="1">
        <f t="array" ref="C281">IF(B281="","",-(INDEX(amort_table_1[Total EMI], ROW()-11)))</f>
        <v>-1210.1571381062756</v>
      </c>
    </row>
    <row r="282" spans="2:3">
      <c r="B282" s="29" cm="1">
        <f t="array" ref="B282">IFERROR(INDEX(amort_table_1[Due date],ROW()-11),"")</f>
        <v>53787</v>
      </c>
      <c r="C282" s="25" cm="1">
        <f t="array" ref="C282">IF(B282="","",-(INDEX(amort_table_1[Total EMI], ROW()-11)))</f>
        <v>-1210.1571381062756</v>
      </c>
    </row>
    <row r="283" spans="2:3">
      <c r="B283" s="29" cm="1">
        <f t="array" ref="B283">IFERROR(INDEX(amort_table_1[Due date],ROW()-11),"")</f>
        <v>53817</v>
      </c>
      <c r="C283" s="25" cm="1">
        <f t="array" ref="C283">IF(B283="","",-(INDEX(amort_table_1[Total EMI], ROW()-11)))</f>
        <v>-1210.1571381062756</v>
      </c>
    </row>
    <row r="284" spans="2:3">
      <c r="B284" s="29" cm="1">
        <f t="array" ref="B284">IFERROR(INDEX(amort_table_1[Due date],ROW()-11),"")</f>
        <v>53848</v>
      </c>
      <c r="C284" s="25" cm="1">
        <f t="array" ref="C284">IF(B284="","",-(INDEX(amort_table_1[Total EMI], ROW()-11)))</f>
        <v>-1210.1571381062756</v>
      </c>
    </row>
    <row r="285" spans="2:3">
      <c r="B285" s="29" cm="1">
        <f t="array" ref="B285">IFERROR(INDEX(amort_table_1[Due date],ROW()-11),"")</f>
        <v>53878</v>
      </c>
      <c r="C285" s="25" cm="1">
        <f t="array" ref="C285">IF(B285="","",-(INDEX(amort_table_1[Total EMI], ROW()-11)))</f>
        <v>-1210.1571381062756</v>
      </c>
    </row>
    <row r="286" spans="2:3">
      <c r="B286" s="29" cm="1">
        <f t="array" ref="B286">IFERROR(INDEX(amort_table_1[Due date],ROW()-11),"")</f>
        <v>53909</v>
      </c>
      <c r="C286" s="25" cm="1">
        <f t="array" ref="C286">IF(B286="","",-(INDEX(amort_table_1[Total EMI], ROW()-11)))</f>
        <v>-1210.1571381062756</v>
      </c>
    </row>
    <row r="287" spans="2:3">
      <c r="B287" s="29" cm="1">
        <f t="array" ref="B287">IFERROR(INDEX(amort_table_1[Due date],ROW()-11),"")</f>
        <v>53940</v>
      </c>
      <c r="C287" s="25" cm="1">
        <f t="array" ref="C287">IF(B287="","",-(INDEX(amort_table_1[Total EMI], ROW()-11)))</f>
        <v>-1210.1571381062756</v>
      </c>
    </row>
    <row r="288" spans="2:3">
      <c r="B288" s="29" cm="1">
        <f t="array" ref="B288">IFERROR(INDEX(amort_table_1[Due date],ROW()-11),"")</f>
        <v>53970</v>
      </c>
      <c r="C288" s="25" cm="1">
        <f t="array" ref="C288">IF(B288="","",-(INDEX(amort_table_1[Total EMI], ROW()-11)))</f>
        <v>-1210.1571381062756</v>
      </c>
    </row>
    <row r="289" spans="2:3">
      <c r="B289" s="29" cm="1">
        <f t="array" ref="B289">IFERROR(INDEX(amort_table_1[Due date],ROW()-11),"")</f>
        <v>54001</v>
      </c>
      <c r="C289" s="25" cm="1">
        <f t="array" ref="C289">IF(B289="","",-(INDEX(amort_table_1[Total EMI], ROW()-11)))</f>
        <v>-1210.1571381062756</v>
      </c>
    </row>
    <row r="290" spans="2:3">
      <c r="B290" s="29" cm="1">
        <f t="array" ref="B290">IFERROR(INDEX(amort_table_1[Due date],ROW()-11),"")</f>
        <v>54031</v>
      </c>
      <c r="C290" s="25" cm="1">
        <f t="array" ref="C290">IF(B290="","",-(INDEX(amort_table_1[Total EMI], ROW()-11)))</f>
        <v>-1210.1571381062756</v>
      </c>
    </row>
    <row r="291" spans="2:3">
      <c r="B291" s="29" cm="1">
        <f t="array" ref="B291">IFERROR(INDEX(amort_table_1[Due date],ROW()-11),"")</f>
        <v>54062</v>
      </c>
      <c r="C291" s="25" cm="1">
        <f t="array" ref="C291">IF(B291="","",-(INDEX(amort_table_1[Total EMI], ROW()-11)))</f>
        <v>-1210.1571381062756</v>
      </c>
    </row>
    <row r="292" spans="2:3">
      <c r="B292" s="29" cm="1">
        <f t="array" ref="B292">IFERROR(INDEX(amort_table_1[Due date],ROW()-11),"")</f>
        <v>54093</v>
      </c>
      <c r="C292" s="25" cm="1">
        <f t="array" ref="C292">IF(B292="","",-(INDEX(amort_table_1[Total EMI], ROW()-11)))</f>
        <v>-1210.1571381062756</v>
      </c>
    </row>
    <row r="293" spans="2:3">
      <c r="B293" s="29" cm="1">
        <f t="array" ref="B293">IFERROR(INDEX(amort_table_1[Due date],ROW()-11),"")</f>
        <v>54122</v>
      </c>
      <c r="C293" s="25" cm="1">
        <f t="array" ref="C293">IF(B293="","",-(INDEX(amort_table_1[Total EMI], ROW()-11)))</f>
        <v>-1210.1571381062756</v>
      </c>
    </row>
    <row r="294" spans="2:3">
      <c r="B294" s="29" cm="1">
        <f t="array" ref="B294">IFERROR(INDEX(amort_table_1[Due date],ROW()-11),"")</f>
        <v>54153</v>
      </c>
      <c r="C294" s="25" cm="1">
        <f t="array" ref="C294">IF(B294="","",-(INDEX(amort_table_1[Total EMI], ROW()-11)))</f>
        <v>-1210.1571381062756</v>
      </c>
    </row>
    <row r="295" spans="2:3">
      <c r="B295" s="29" cm="1">
        <f t="array" ref="B295">IFERROR(INDEX(amort_table_1[Due date],ROW()-11),"")</f>
        <v>54183</v>
      </c>
      <c r="C295" s="25" cm="1">
        <f t="array" ref="C295">IF(B295="","",-(INDEX(amort_table_1[Total EMI], ROW()-11)))</f>
        <v>-1210.1571381062756</v>
      </c>
    </row>
    <row r="296" spans="2:3">
      <c r="B296" s="29" cm="1">
        <f t="array" ref="B296">IFERROR(INDEX(amort_table_1[Due date],ROW()-11),"")</f>
        <v>54214</v>
      </c>
      <c r="C296" s="25" cm="1">
        <f t="array" ref="C296">IF(B296="","",-(INDEX(amort_table_1[Total EMI], ROW()-11)))</f>
        <v>-1210.1571381062756</v>
      </c>
    </row>
    <row r="297" spans="2:3">
      <c r="B297" s="29" cm="1">
        <f t="array" ref="B297">IFERROR(INDEX(amort_table_1[Due date],ROW()-11),"")</f>
        <v>54244</v>
      </c>
      <c r="C297" s="25" cm="1">
        <f t="array" ref="C297">IF(B297="","",-(INDEX(amort_table_1[Total EMI], ROW()-11)))</f>
        <v>-1210.1571381062756</v>
      </c>
    </row>
    <row r="298" spans="2:3">
      <c r="B298" s="29" cm="1">
        <f t="array" ref="B298">IFERROR(INDEX(amort_table_1[Due date],ROW()-11),"")</f>
        <v>54275</v>
      </c>
      <c r="C298" s="25" cm="1">
        <f t="array" ref="C298">IF(B298="","",-(INDEX(amort_table_1[Total EMI], ROW()-11)))</f>
        <v>-1210.1571381062756</v>
      </c>
    </row>
    <row r="299" spans="2:3">
      <c r="B299" s="29" cm="1">
        <f t="array" ref="B299">IFERROR(INDEX(amort_table_1[Due date],ROW()-11),"")</f>
        <v>54306</v>
      </c>
      <c r="C299" s="25" cm="1">
        <f t="array" ref="C299">IF(B299="","",-(INDEX(amort_table_1[Total EMI], ROW()-11)))</f>
        <v>-1210.1571381062756</v>
      </c>
    </row>
    <row r="300" spans="2:3">
      <c r="B300" s="29" cm="1">
        <f t="array" ref="B300">IFERROR(INDEX(amort_table_1[Due date],ROW()-11),"")</f>
        <v>54336</v>
      </c>
      <c r="C300" s="25" cm="1">
        <f t="array" ref="C300">IF(B300="","",-(INDEX(amort_table_1[Total EMI], ROW()-11)))</f>
        <v>-1210.1571381062756</v>
      </c>
    </row>
    <row r="301" spans="2:3">
      <c r="B301" s="29" cm="1">
        <f t="array" ref="B301">IFERROR(INDEX(amort_table_1[Due date],ROW()-11),"")</f>
        <v>54367</v>
      </c>
      <c r="C301" s="25" cm="1">
        <f t="array" ref="C301">IF(B301="","",-(INDEX(amort_table_1[Total EMI], ROW()-11)))</f>
        <v>-1210.1571381062756</v>
      </c>
    </row>
    <row r="302" spans="2:3">
      <c r="B302" s="29" cm="1">
        <f t="array" ref="B302">IFERROR(INDEX(amort_table_1[Due date],ROW()-11),"")</f>
        <v>54397</v>
      </c>
      <c r="C302" s="25" cm="1">
        <f t="array" ref="C302">IF(B302="","",-(INDEX(amort_table_1[Total EMI], ROW()-11)))</f>
        <v>-1210.1571381062756</v>
      </c>
    </row>
    <row r="303" spans="2:3">
      <c r="B303" s="29" cm="1">
        <f t="array" ref="B303">IFERROR(INDEX(amort_table_1[Due date],ROW()-11),"")</f>
        <v>54428</v>
      </c>
      <c r="C303" s="25" cm="1">
        <f t="array" ref="C303">IF(B303="","",-(INDEX(amort_table_1[Total EMI], ROW()-11)))</f>
        <v>-1210.1571381062756</v>
      </c>
    </row>
    <row r="304" spans="2:3">
      <c r="B304" s="29" cm="1">
        <f t="array" ref="B304">IFERROR(INDEX(amort_table_1[Due date],ROW()-11),"")</f>
        <v>54459</v>
      </c>
      <c r="C304" s="25" cm="1">
        <f t="array" ref="C304">IF(B304="","",-(INDEX(amort_table_1[Total EMI], ROW()-11)))</f>
        <v>-1210.1571381062756</v>
      </c>
    </row>
    <row r="305" spans="2:3">
      <c r="B305" s="29" cm="1">
        <f t="array" ref="B305">IFERROR(INDEX(amort_table_1[Due date],ROW()-11),"")</f>
        <v>54487</v>
      </c>
      <c r="C305" s="25" cm="1">
        <f t="array" ref="C305">IF(B305="","",-(INDEX(amort_table_1[Total EMI], ROW()-11)))</f>
        <v>-1210.1571381062756</v>
      </c>
    </row>
    <row r="306" spans="2:3">
      <c r="B306" s="29" cm="1">
        <f t="array" ref="B306">IFERROR(INDEX(amort_table_1[Due date],ROW()-11),"")</f>
        <v>54518</v>
      </c>
      <c r="C306" s="25" cm="1">
        <f t="array" ref="C306">IF(B306="","",-(INDEX(amort_table_1[Total EMI], ROW()-11)))</f>
        <v>-1210.1571381062756</v>
      </c>
    </row>
    <row r="307" spans="2:3">
      <c r="B307" s="29" cm="1">
        <f t="array" ref="B307">IFERROR(INDEX(amort_table_1[Due date],ROW()-11),"")</f>
        <v>54548</v>
      </c>
      <c r="C307" s="25" cm="1">
        <f t="array" ref="C307">IF(B307="","",-(INDEX(amort_table_1[Total EMI], ROW()-11)))</f>
        <v>-1210.1571381062756</v>
      </c>
    </row>
    <row r="308" spans="2:3">
      <c r="B308" s="29" cm="1">
        <f t="array" ref="B308">IFERROR(INDEX(amort_table_1[Due date],ROW()-11),"")</f>
        <v>54579</v>
      </c>
      <c r="C308" s="25" cm="1">
        <f t="array" ref="C308">IF(B308="","",-(INDEX(amort_table_1[Total EMI], ROW()-11)))</f>
        <v>-1210.1571381062756</v>
      </c>
    </row>
    <row r="309" spans="2:3">
      <c r="B309" s="29" cm="1">
        <f t="array" ref="B309">IFERROR(INDEX(amort_table_1[Due date],ROW()-11),"")</f>
        <v>54609</v>
      </c>
      <c r="C309" s="25" cm="1">
        <f t="array" ref="C309">IF(B309="","",-(INDEX(amort_table_1[Total EMI], ROW()-11)))</f>
        <v>-1210.1571381062756</v>
      </c>
    </row>
    <row r="310" spans="2:3">
      <c r="B310" s="29" cm="1">
        <f t="array" ref="B310">IFERROR(INDEX(amort_table_1[Due date],ROW()-11),"")</f>
        <v>54640</v>
      </c>
      <c r="C310" s="25" cm="1">
        <f t="array" ref="C310">IF(B310="","",-(INDEX(amort_table_1[Total EMI], ROW()-11)))</f>
        <v>-1210.1571381062756</v>
      </c>
    </row>
    <row r="311" spans="2:3">
      <c r="B311" s="29" cm="1">
        <f t="array" ref="B311">IFERROR(INDEX(amort_table_1[Due date],ROW()-11),"")</f>
        <v>54671</v>
      </c>
      <c r="C311" s="25" cm="1">
        <f t="array" ref="C311">IF(B311="","",-(INDEX(amort_table_1[Total EMI], ROW()-11)))</f>
        <v>-1210.1571381062756</v>
      </c>
    </row>
    <row r="312" spans="2:3">
      <c r="B312" s="29" t="str" cm="1">
        <f t="array" ref="B312">IFERROR(INDEX(amort_table_1[Due date],ROW()-11),"")</f>
        <v/>
      </c>
      <c r="C312" s="25" t="str" cm="1">
        <f t="array" ref="C312">IF(B312="","",-(INDEX(amort_table_1[Total EMI], ROW()-11)))</f>
        <v/>
      </c>
    </row>
    <row r="313" spans="2:3">
      <c r="B313" s="29" t="str" cm="1">
        <f t="array" ref="B313">IFERROR(INDEX(amort_table_1[Due date],ROW()-11),"")</f>
        <v/>
      </c>
      <c r="C313" s="25" t="str" cm="1">
        <f t="array" ref="C313">IF(B313="","",-(INDEX(amort_table_1[Total EMI], ROW()-11)))</f>
        <v/>
      </c>
    </row>
    <row r="314" spans="2:3">
      <c r="B314" s="29" t="str" cm="1">
        <f t="array" ref="B314">IFERROR(INDEX(amort_table_1[Due date],ROW()-11),"")</f>
        <v/>
      </c>
      <c r="C314" s="25" t="str" cm="1">
        <f t="array" ref="C314">IF(B314="","",-(INDEX(amort_table_1[Total EMI], ROW()-11)))</f>
        <v/>
      </c>
    </row>
    <row r="315" spans="2:3">
      <c r="B315" s="29" t="str" cm="1">
        <f t="array" ref="B315">IFERROR(INDEX(amort_table_1[Due date],ROW()-11),"")</f>
        <v/>
      </c>
      <c r="C315" s="25" t="str" cm="1">
        <f t="array" ref="C315">IF(B315="","",-(INDEX(amort_table_1[Total EMI], ROW()-11)))</f>
        <v/>
      </c>
    </row>
    <row r="316" spans="2:3">
      <c r="B316" s="29" t="str" cm="1">
        <f t="array" ref="B316">IFERROR(INDEX(amort_table_1[Due date],ROW()-11),"")</f>
        <v/>
      </c>
      <c r="C316" s="25" t="str" cm="1">
        <f t="array" ref="C316">IF(B316="","",-(INDEX(amort_table_1[Total EMI], ROW()-11)))</f>
        <v/>
      </c>
    </row>
    <row r="317" spans="2:3">
      <c r="B317" s="29" t="str" cm="1">
        <f t="array" ref="B317">IFERROR(INDEX(amort_table_1[Due date],ROW()-11),"")</f>
        <v/>
      </c>
      <c r="C317" s="25" t="str" cm="1">
        <f t="array" ref="C317">IF(B317="","",-(INDEX(amort_table_1[Total EMI], ROW()-11)))</f>
        <v/>
      </c>
    </row>
    <row r="318" spans="2:3">
      <c r="B318" s="29" t="str" cm="1">
        <f t="array" ref="B318">IFERROR(INDEX(amort_table_1[Due date],ROW()-11),"")</f>
        <v/>
      </c>
      <c r="C318" s="25" t="str" cm="1">
        <f t="array" ref="C318">IF(B318="","",-(INDEX(amort_table_1[Total EMI], ROW()-11)))</f>
        <v/>
      </c>
    </row>
    <row r="319" spans="2:3">
      <c r="B319" s="29" t="str" cm="1">
        <f t="array" ref="B319">IFERROR(INDEX(amort_table_1[Due date],ROW()-11),"")</f>
        <v/>
      </c>
      <c r="C319" s="25" t="str" cm="1">
        <f t="array" ref="C319">IF(B319="","",-(INDEX(amort_table_1[Total EMI], ROW()-11)))</f>
        <v/>
      </c>
    </row>
    <row r="320" spans="2:3">
      <c r="B320" s="29" t="str" cm="1">
        <f t="array" ref="B320">IFERROR(INDEX(amort_table_1[Due date],ROW()-11),"")</f>
        <v/>
      </c>
      <c r="C320" s="25" t="str" cm="1">
        <f t="array" ref="C320">IF(B320="","",-(INDEX(amort_table_1[Total EMI], ROW()-11)))</f>
        <v/>
      </c>
    </row>
    <row r="321" spans="2:3">
      <c r="B321" s="29" t="str" cm="1">
        <f t="array" ref="B321">IFERROR(INDEX(amort_table_1[Due date],ROW()-11),"")</f>
        <v/>
      </c>
      <c r="C321" s="25" t="str" cm="1">
        <f t="array" ref="C321">IF(B321="","",-(INDEX(amort_table_1[Total EMI], ROW()-11)))</f>
        <v/>
      </c>
    </row>
    <row r="322" spans="2:3">
      <c r="B322" s="29" t="str" cm="1">
        <f t="array" ref="B322">IFERROR(INDEX(amort_table_1[Due date],ROW()-11),"")</f>
        <v/>
      </c>
      <c r="C322" s="25" t="str" cm="1">
        <f t="array" ref="C322">IF(B322="","",-(INDEX(amort_table_1[Total EMI], ROW()-11)))</f>
        <v/>
      </c>
    </row>
    <row r="323" spans="2:3">
      <c r="B323" s="29" t="str" cm="1">
        <f t="array" ref="B323">IFERROR(INDEX(amort_table_1[Due date],ROW()-11),"")</f>
        <v/>
      </c>
      <c r="C323" s="25" t="str" cm="1">
        <f t="array" ref="C323">IF(B323="","",-(INDEX(amort_table_1[Total EMI], ROW()-11)))</f>
        <v/>
      </c>
    </row>
    <row r="324" spans="2:3">
      <c r="B324" s="29" t="str" cm="1">
        <f t="array" ref="B324">IFERROR(INDEX(amort_table_1[Due date],ROW()-11),"")</f>
        <v/>
      </c>
      <c r="C324" s="25" t="str" cm="1">
        <f t="array" ref="C324">IF(B324="","",-(INDEX(amort_table_1[Total EMI], ROW()-11)))</f>
        <v/>
      </c>
    </row>
    <row r="325" spans="2:3">
      <c r="B325" s="29" t="str" cm="1">
        <f t="array" ref="B325">IFERROR(INDEX(amort_table_1[Due date],ROW()-11),"")</f>
        <v/>
      </c>
      <c r="C325" s="25" t="str" cm="1">
        <f t="array" ref="C325">IF(B325="","",-(INDEX(amort_table_1[Total EMI], ROW()-11)))</f>
        <v/>
      </c>
    </row>
    <row r="326" spans="2:3">
      <c r="B326" s="29" t="str" cm="1">
        <f t="array" ref="B326">IFERROR(INDEX(amort_table_1[Due date],ROW()-11),"")</f>
        <v/>
      </c>
      <c r="C326" s="25" t="str" cm="1">
        <f t="array" ref="C326">IF(B326="","",-(INDEX(amort_table_1[Total EMI], ROW()-11)))</f>
        <v/>
      </c>
    </row>
    <row r="327" spans="2:3">
      <c r="B327" s="29" t="str" cm="1">
        <f t="array" ref="B327">IFERROR(INDEX(amort_table_1[Due date],ROW()-11),"")</f>
        <v/>
      </c>
      <c r="C327" s="25" t="str" cm="1">
        <f t="array" ref="C327">IF(B327="","",-(INDEX(amort_table_1[Total EMI], ROW()-11)))</f>
        <v/>
      </c>
    </row>
    <row r="328" spans="2:3">
      <c r="B328" s="29" t="str" cm="1">
        <f t="array" ref="B328">IFERROR(INDEX(amort_table_1[Due date],ROW()-11),"")</f>
        <v/>
      </c>
      <c r="C328" s="25" t="str" cm="1">
        <f t="array" ref="C328">IF(B328="","",-(INDEX(amort_table_1[Total EMI], ROW()-11)))</f>
        <v/>
      </c>
    </row>
    <row r="329" spans="2:3">
      <c r="B329" s="29" t="str" cm="1">
        <f t="array" ref="B329">IFERROR(INDEX(amort_table_1[Due date],ROW()-11),"")</f>
        <v/>
      </c>
      <c r="C329" s="25" t="str" cm="1">
        <f t="array" ref="C329">IF(B329="","",-(INDEX(amort_table_1[Total EMI], ROW()-11)))</f>
        <v/>
      </c>
    </row>
    <row r="330" spans="2:3">
      <c r="B330" s="29" t="str" cm="1">
        <f t="array" ref="B330">IFERROR(INDEX(amort_table_1[Due date],ROW()-11),"")</f>
        <v/>
      </c>
      <c r="C330" s="25" t="str" cm="1">
        <f t="array" ref="C330">IF(B330="","",-(INDEX(amort_table_1[Total EMI], ROW()-11)))</f>
        <v/>
      </c>
    </row>
    <row r="331" spans="2:3">
      <c r="B331" s="29" t="str" cm="1">
        <f t="array" ref="B331">IFERROR(INDEX(amort_table_1[Due date],ROW()-11),"")</f>
        <v/>
      </c>
      <c r="C331" s="25" t="str" cm="1">
        <f t="array" ref="C331">IF(B331="","",-(INDEX(amort_table_1[Total EMI], ROW()-11)))</f>
        <v/>
      </c>
    </row>
    <row r="332" spans="2:3">
      <c r="B332" s="29" t="str" cm="1">
        <f t="array" ref="B332">IFERROR(INDEX(amort_table_1[Due date],ROW()-11),"")</f>
        <v/>
      </c>
      <c r="C332" s="25" t="str" cm="1">
        <f t="array" ref="C332">IF(B332="","",-(INDEX(amort_table_1[Total EMI], ROW()-11)))</f>
        <v/>
      </c>
    </row>
    <row r="333" spans="2:3">
      <c r="B333" s="29" t="str" cm="1">
        <f t="array" ref="B333">IFERROR(INDEX(amort_table_1[Due date],ROW()-11),"")</f>
        <v/>
      </c>
      <c r="C333" s="25" t="str" cm="1">
        <f t="array" ref="C333">IF(B333="","",-(INDEX(amort_table_1[Total EMI], ROW()-11)))</f>
        <v/>
      </c>
    </row>
    <row r="334" spans="2:3">
      <c r="B334" s="29" t="str" cm="1">
        <f t="array" ref="B334">IFERROR(INDEX(amort_table_1[Due date],ROW()-11),"")</f>
        <v/>
      </c>
      <c r="C334" s="25" t="str" cm="1">
        <f t="array" ref="C334">IF(B334="","",-(INDEX(amort_table_1[Total EMI], ROW()-11)))</f>
        <v/>
      </c>
    </row>
    <row r="335" spans="2:3">
      <c r="B335" s="29" t="str" cm="1">
        <f t="array" ref="B335">IFERROR(INDEX(amort_table_1[Due date],ROW()-11),"")</f>
        <v/>
      </c>
      <c r="C335" s="25" t="str" cm="1">
        <f t="array" ref="C335">IF(B335="","",-(INDEX(amort_table_1[Total EMI], ROW()-11)))</f>
        <v/>
      </c>
    </row>
    <row r="336" spans="2:3">
      <c r="B336" s="29" t="str" cm="1">
        <f t="array" ref="B336">IFERROR(INDEX(amort_table_1[Due date],ROW()-11),"")</f>
        <v/>
      </c>
      <c r="C336" s="25" t="str" cm="1">
        <f t="array" ref="C336">IF(B336="","",-(INDEX(amort_table_1[Total EMI], ROW()-11)))</f>
        <v/>
      </c>
    </row>
    <row r="337" spans="2:3">
      <c r="B337" s="29" t="str" cm="1">
        <f t="array" ref="B337">IFERROR(INDEX(amort_table_1[Due date],ROW()-11),"")</f>
        <v/>
      </c>
      <c r="C337" s="25" t="str" cm="1">
        <f t="array" ref="C337">IF(B337="","",-(INDEX(amort_table_1[Total EMI], ROW()-11)))</f>
        <v/>
      </c>
    </row>
    <row r="338" spans="2:3">
      <c r="B338" s="29" t="str" cm="1">
        <f t="array" ref="B338">IFERROR(INDEX(amort_table_1[Due date],ROW()-11),"")</f>
        <v/>
      </c>
      <c r="C338" s="25" t="str" cm="1">
        <f t="array" ref="C338">IF(B338="","",-(INDEX(amort_table_1[Total EMI], ROW()-11)))</f>
        <v/>
      </c>
    </row>
    <row r="339" spans="2:3">
      <c r="B339" s="29" t="str" cm="1">
        <f t="array" ref="B339">IFERROR(INDEX(amort_table_1[Due date],ROW()-11),"")</f>
        <v/>
      </c>
      <c r="C339" s="25" t="str" cm="1">
        <f t="array" ref="C339">IF(B339="","",-(INDEX(amort_table_1[Total EMI], ROW()-11)))</f>
        <v/>
      </c>
    </row>
    <row r="340" spans="2:3">
      <c r="B340" s="29" t="str" cm="1">
        <f t="array" ref="B340">IFERROR(INDEX(amort_table_1[Due date],ROW()-11),"")</f>
        <v/>
      </c>
      <c r="C340" s="25" t="str" cm="1">
        <f t="array" ref="C340">IF(B340="","",-(INDEX(amort_table_1[Total EMI], ROW()-11)))</f>
        <v/>
      </c>
    </row>
    <row r="341" spans="2:3">
      <c r="B341" s="29" t="str" cm="1">
        <f t="array" ref="B341">IFERROR(INDEX(amort_table_1[Due date],ROW()-11),"")</f>
        <v/>
      </c>
      <c r="C341" s="25" t="str" cm="1">
        <f t="array" ref="C341">IF(B341="","",-(INDEX(amort_table_1[Total EMI], ROW()-11)))</f>
        <v/>
      </c>
    </row>
    <row r="342" spans="2:3">
      <c r="B342" s="29" t="str" cm="1">
        <f t="array" ref="B342">IFERROR(INDEX(amort_table_1[Due date],ROW()-11),"")</f>
        <v/>
      </c>
      <c r="C342" s="25" t="str" cm="1">
        <f t="array" ref="C342">IF(B342="","",-(INDEX(amort_table_1[Total EMI], ROW()-11)))</f>
        <v/>
      </c>
    </row>
    <row r="343" spans="2:3">
      <c r="B343" s="29" t="str" cm="1">
        <f t="array" ref="B343">IFERROR(INDEX(amort_table_1[Due date],ROW()-11),"")</f>
        <v/>
      </c>
      <c r="C343" s="25" t="str" cm="1">
        <f t="array" ref="C343">IF(B343="","",-(INDEX(amort_table_1[Total EMI], ROW()-11)))</f>
        <v/>
      </c>
    </row>
    <row r="344" spans="2:3">
      <c r="B344" s="29" t="str" cm="1">
        <f t="array" ref="B344">IFERROR(INDEX(amort_table_1[Due date],ROW()-11),"")</f>
        <v/>
      </c>
      <c r="C344" s="25" t="str" cm="1">
        <f t="array" ref="C344">IF(B344="","",-(INDEX(amort_table_1[Total EMI], ROW()-11)))</f>
        <v/>
      </c>
    </row>
    <row r="345" spans="2:3">
      <c r="B345" s="29" t="str" cm="1">
        <f t="array" ref="B345">IFERROR(INDEX(amort_table_1[Due date],ROW()-11),"")</f>
        <v/>
      </c>
      <c r="C345" s="25" t="str" cm="1">
        <f t="array" ref="C345">IF(B345="","",-(INDEX(amort_table_1[Total EMI], ROW()-11)))</f>
        <v/>
      </c>
    </row>
    <row r="346" spans="2:3">
      <c r="B346" s="29" t="str" cm="1">
        <f t="array" ref="B346">IFERROR(INDEX(amort_table_1[Due date],ROW()-11),"")</f>
        <v/>
      </c>
      <c r="C346" s="25" t="str" cm="1">
        <f t="array" ref="C346">IF(B346="","",-(INDEX(amort_table_1[Total EMI], ROW()-11)))</f>
        <v/>
      </c>
    </row>
    <row r="347" spans="2:3">
      <c r="B347" s="29" t="str" cm="1">
        <f t="array" ref="B347">IFERROR(INDEX(amort_table_1[Due date],ROW()-11),"")</f>
        <v/>
      </c>
      <c r="C347" s="25" t="str" cm="1">
        <f t="array" ref="C347">IF(B347="","",-(INDEX(amort_table_1[Total EMI], ROW()-11)))</f>
        <v/>
      </c>
    </row>
    <row r="348" spans="2:3">
      <c r="B348" s="29" t="str" cm="1">
        <f t="array" ref="B348">IFERROR(INDEX(amort_table_1[Due date],ROW()-11),"")</f>
        <v/>
      </c>
      <c r="C348" s="25" t="str" cm="1">
        <f t="array" ref="C348">IF(B348="","",-(INDEX(amort_table_1[Total EMI], ROW()-11)))</f>
        <v/>
      </c>
    </row>
    <row r="349" spans="2:3">
      <c r="B349" s="29" t="str" cm="1">
        <f t="array" ref="B349">IFERROR(INDEX(amort_table_1[Due date],ROW()-11),"")</f>
        <v/>
      </c>
      <c r="C349" s="25" t="str" cm="1">
        <f t="array" ref="C349">IF(B349="","",-(INDEX(amort_table_1[Total EMI], ROW()-11)))</f>
        <v/>
      </c>
    </row>
    <row r="350" spans="2:3">
      <c r="B350" s="29" t="str" cm="1">
        <f t="array" ref="B350">IFERROR(INDEX(amort_table_1[Due date],ROW()-11),"")</f>
        <v/>
      </c>
      <c r="C350" s="25" t="str" cm="1">
        <f t="array" ref="C350">IF(B350="","",-(INDEX(amort_table_1[Total EMI], ROW()-11)))</f>
        <v/>
      </c>
    </row>
    <row r="351" spans="2:3">
      <c r="B351" s="29" t="str" cm="1">
        <f t="array" ref="B351">IFERROR(INDEX(amort_table_1[Due date],ROW()-11),"")</f>
        <v/>
      </c>
      <c r="C351" s="25" t="str" cm="1">
        <f t="array" ref="C351">IF(B351="","",-(INDEX(amort_table_1[Total EMI], ROW()-11)))</f>
        <v/>
      </c>
    </row>
    <row r="352" spans="2:3">
      <c r="B352" s="29" t="str" cm="1">
        <f t="array" ref="B352">IFERROR(INDEX(amort_table_1[Due date],ROW()-11),"")</f>
        <v/>
      </c>
      <c r="C352" s="25" t="str" cm="1">
        <f t="array" ref="C352">IF(B352="","",-(INDEX(amort_table_1[Total EMI], ROW()-11)))</f>
        <v/>
      </c>
    </row>
    <row r="353" spans="2:3">
      <c r="B353" s="29" t="str" cm="1">
        <f t="array" ref="B353">IFERROR(INDEX(amort_table_1[Due date],ROW()-11),"")</f>
        <v/>
      </c>
      <c r="C353" s="25" t="str" cm="1">
        <f t="array" ref="C353">IF(B353="","",-(INDEX(amort_table_1[Total EMI], ROW()-11)))</f>
        <v/>
      </c>
    </row>
    <row r="354" spans="2:3">
      <c r="B354" s="29" t="str" cm="1">
        <f t="array" ref="B354">IFERROR(INDEX(amort_table_1[Due date],ROW()-11),"")</f>
        <v/>
      </c>
      <c r="C354" s="25" t="str" cm="1">
        <f t="array" ref="C354">IF(B354="","",-(INDEX(amort_table_1[Total EMI], ROW()-11)))</f>
        <v/>
      </c>
    </row>
    <row r="355" spans="2:3">
      <c r="B355" s="29" t="str" cm="1">
        <f t="array" ref="B355">IFERROR(INDEX(amort_table_1[Due date],ROW()-11),"")</f>
        <v/>
      </c>
      <c r="C355" s="25" t="str" cm="1">
        <f t="array" ref="C355">IF(B355="","",-(INDEX(amort_table_1[Total EMI], ROW()-11)))</f>
        <v/>
      </c>
    </row>
    <row r="356" spans="2:3">
      <c r="B356" s="29" t="str" cm="1">
        <f t="array" ref="B356">IFERROR(INDEX(amort_table_1[Due date],ROW()-11),"")</f>
        <v/>
      </c>
      <c r="C356" s="25" t="str" cm="1">
        <f t="array" ref="C356">IF(B356="","",-(INDEX(amort_table_1[Total EMI], ROW()-11)))</f>
        <v/>
      </c>
    </row>
    <row r="357" spans="2:3">
      <c r="B357" s="29" t="str" cm="1">
        <f t="array" ref="B357">IFERROR(INDEX(amort_table_1[Due date],ROW()-11),"")</f>
        <v/>
      </c>
      <c r="C357" s="25" t="str" cm="1">
        <f t="array" ref="C357">IF(B357="","",-(INDEX(amort_table_1[Total EMI], ROW()-11)))</f>
        <v/>
      </c>
    </row>
    <row r="358" spans="2:3">
      <c r="B358" s="29" t="str" cm="1">
        <f t="array" ref="B358">IFERROR(INDEX(amort_table_1[Due date],ROW()-11),"")</f>
        <v/>
      </c>
      <c r="C358" s="25" t="str" cm="1">
        <f t="array" ref="C358">IF(B358="","",-(INDEX(amort_table_1[Total EMI], ROW()-11)))</f>
        <v/>
      </c>
    </row>
    <row r="359" spans="2:3">
      <c r="B359" s="29" t="str" cm="1">
        <f t="array" ref="B359">IFERROR(INDEX(amort_table_1[Due date],ROW()-11),"")</f>
        <v/>
      </c>
      <c r="C359" s="25" t="str" cm="1">
        <f t="array" ref="C359">IF(B359="","",-(INDEX(amort_table_1[Total EMI], ROW()-11)))</f>
        <v/>
      </c>
    </row>
    <row r="360" spans="2:3">
      <c r="B360" s="29" t="str" cm="1">
        <f t="array" ref="B360">IFERROR(INDEX(amort_table_1[Due date],ROW()-11),"")</f>
        <v/>
      </c>
      <c r="C360" s="25" t="str" cm="1">
        <f t="array" ref="C360">IF(B360="","",-(INDEX(amort_table_1[Total EMI], ROW()-11)))</f>
        <v/>
      </c>
    </row>
    <row r="361" spans="2:3">
      <c r="B361" s="29" t="str" cm="1">
        <f t="array" ref="B361">IFERROR(INDEX(amort_table_1[Due date],ROW()-11),"")</f>
        <v/>
      </c>
      <c r="C361" s="25" t="str" cm="1">
        <f t="array" ref="C361">IF(B361="","",-(INDEX(amort_table_1[Total EMI], ROW()-11)))</f>
        <v/>
      </c>
    </row>
    <row r="362" spans="2:3">
      <c r="B362" s="29" t="str" cm="1">
        <f t="array" ref="B362">IFERROR(INDEX(amort_table_1[Due date],ROW()-11),"")</f>
        <v/>
      </c>
      <c r="C362" s="25" t="str" cm="1">
        <f t="array" ref="C362">IF(B362="","",-(INDEX(amort_table_1[Total EMI], ROW()-11)))</f>
        <v/>
      </c>
    </row>
    <row r="363" spans="2:3">
      <c r="B363" s="29" t="str" cm="1">
        <f t="array" ref="B363">IFERROR(INDEX(amort_table_1[Due date],ROW()-11),"")</f>
        <v/>
      </c>
      <c r="C363" s="25" t="str" cm="1">
        <f t="array" ref="C363">IF(B363="","",-(INDEX(amort_table_1[Total EMI], ROW()-11)))</f>
        <v/>
      </c>
    </row>
    <row r="364" spans="2:3">
      <c r="B364" s="29" t="str" cm="1">
        <f t="array" ref="B364">IFERROR(INDEX(amort_table_1[Due date],ROW()-11),"")</f>
        <v/>
      </c>
      <c r="C364" s="25" t="str" cm="1">
        <f t="array" ref="C364">IF(B364="","",-(INDEX(amort_table_1[Total EMI], ROW()-11)))</f>
        <v/>
      </c>
    </row>
    <row r="365" spans="2:3">
      <c r="B365" s="29" t="str" cm="1">
        <f t="array" ref="B365">IFERROR(INDEX(amort_table_1[Due date],ROW()-11),"")</f>
        <v/>
      </c>
      <c r="C365" s="25" t="str" cm="1">
        <f t="array" ref="C365">IF(B365="","",-(INDEX(amort_table_1[Total EMI], ROW()-11)))</f>
        <v/>
      </c>
    </row>
    <row r="366" spans="2:3">
      <c r="B366" s="29" t="str" cm="1">
        <f t="array" ref="B366">IFERROR(INDEX(amort_table_1[Due date],ROW()-11),"")</f>
        <v/>
      </c>
      <c r="C366" s="25" t="str" cm="1">
        <f t="array" ref="C366">IF(B366="","",-(INDEX(amort_table_1[Total EMI], ROW()-11)))</f>
        <v/>
      </c>
    </row>
    <row r="367" spans="2:3">
      <c r="B367" s="29" t="str" cm="1">
        <f t="array" ref="B367">IFERROR(INDEX(amort_table_1[Due date],ROW()-11),"")</f>
        <v/>
      </c>
      <c r="C367" s="25" t="str" cm="1">
        <f t="array" ref="C367">IF(B367="","",-(INDEX(amort_table_1[Total EMI], ROW()-11)))</f>
        <v/>
      </c>
    </row>
    <row r="368" spans="2:3">
      <c r="B368" s="29" t="str" cm="1">
        <f t="array" ref="B368">IFERROR(INDEX(amort_table_1[Due date],ROW()-11),"")</f>
        <v/>
      </c>
      <c r="C368" s="25" t="str" cm="1">
        <f t="array" ref="C368">IF(B368="","",-(INDEX(amort_table_1[Total EMI], ROW()-11)))</f>
        <v/>
      </c>
    </row>
    <row r="369" spans="2:3">
      <c r="B369" s="29" t="str" cm="1">
        <f t="array" ref="B369">IFERROR(INDEX(amort_table_1[Due date],ROW()-11),"")</f>
        <v/>
      </c>
      <c r="C369" s="25" t="str" cm="1">
        <f t="array" ref="C369">IF(B369="","",-(INDEX(amort_table_1[Total EMI], ROW()-11)))</f>
        <v/>
      </c>
    </row>
    <row r="370" spans="2:3">
      <c r="B370" s="29" t="str" cm="1">
        <f t="array" ref="B370">IFERROR(INDEX(amort_table_1[Due date],ROW()-11),"")</f>
        <v/>
      </c>
      <c r="C370" s="25" t="str" cm="1">
        <f t="array" ref="C370">IF(B370="","",-(INDEX(amort_table_1[Total EMI], ROW()-11)))</f>
        <v/>
      </c>
    </row>
    <row r="371" spans="2:3">
      <c r="B371" s="29" t="str" cm="1">
        <f t="array" ref="B371">IFERROR(INDEX(amort_table_1[Due date],ROW()-11),"")</f>
        <v/>
      </c>
      <c r="C371" s="25" t="str" cm="1">
        <f t="array" ref="C371">IF(B371="","",-(INDEX(amort_table_1[Total EMI], ROW()-11)))</f>
        <v/>
      </c>
    </row>
    <row r="372" spans="2:3">
      <c r="B372" s="29" t="str" cm="1">
        <f t="array" ref="B372">IFERROR(INDEX(amort_table_1[Due date],ROW()-11),"")</f>
        <v/>
      </c>
      <c r="C372" s="25" t="str" cm="1">
        <f t="array" ref="C372">IF(B372="","",-(INDEX(amort_table_1[Total EMI], ROW()-11)))</f>
        <v/>
      </c>
    </row>
    <row r="373" spans="2:3">
      <c r="B373" s="29" t="str" cm="1">
        <f t="array" ref="B373">IFERROR(INDEX(amort_table_1[Due date],ROW()-11),"")</f>
        <v/>
      </c>
      <c r="C373" s="25" t="str" cm="1">
        <f t="array" ref="C373">IF(B373="","",-(INDEX(amort_table_1[Total EMI], ROW()-11)))</f>
        <v/>
      </c>
    </row>
    <row r="374" spans="2:3">
      <c r="B374" s="29" t="str" cm="1">
        <f t="array" ref="B374">IFERROR(INDEX(amort_table_1[Due date],ROW()-11),"")</f>
        <v/>
      </c>
      <c r="C374" s="25" t="str" cm="1">
        <f t="array" ref="C374">IF(B374="","",-(INDEX(amort_table_1[Total EMI], ROW()-11)))</f>
        <v/>
      </c>
    </row>
    <row r="375" spans="2:3">
      <c r="B375" s="29" t="str" cm="1">
        <f t="array" ref="B375">IFERROR(INDEX(amort_table_1[Due date],ROW()-11),"")</f>
        <v/>
      </c>
      <c r="C375" s="25" t="str" cm="1">
        <f t="array" ref="C375">IF(B375="","",-(INDEX(amort_table_1[Total EMI], ROW()-11)))</f>
        <v/>
      </c>
    </row>
    <row r="376" spans="2:3">
      <c r="B376" s="29" t="str" cm="1">
        <f t="array" ref="B376">IFERROR(INDEX(amort_table_1[Due date],ROW()-11),"")</f>
        <v/>
      </c>
      <c r="C376" s="25" t="str" cm="1">
        <f t="array" ref="C376">IF(B376="","",-(INDEX(amort_table_1[Total EMI], ROW()-11)))</f>
        <v/>
      </c>
    </row>
    <row r="377" spans="2:3">
      <c r="B377" s="29" t="str" cm="1">
        <f t="array" ref="B377">IFERROR(INDEX(amort_table_1[Due date],ROW()-11),"")</f>
        <v/>
      </c>
      <c r="C377" s="25" t="str" cm="1">
        <f t="array" ref="C377">IF(B377="","",-(INDEX(amort_table_1[Total EMI], ROW()-11)))</f>
        <v/>
      </c>
    </row>
    <row r="378" spans="2:3">
      <c r="B378" s="29" t="str" cm="1">
        <f t="array" ref="B378">IFERROR(INDEX(amort_table_1[Due date],ROW()-11),"")</f>
        <v/>
      </c>
      <c r="C378" s="25" t="str" cm="1">
        <f t="array" ref="C378">IF(B378="","",-(INDEX(amort_table_1[Total EMI], ROW()-11)))</f>
        <v/>
      </c>
    </row>
    <row r="379" spans="2:3">
      <c r="B379" s="29" t="str" cm="1">
        <f t="array" ref="B379">IFERROR(INDEX(amort_table_1[Due date],ROW()-11),"")</f>
        <v/>
      </c>
      <c r="C379" s="25" t="str" cm="1">
        <f t="array" ref="C379">IF(B379="","",-(INDEX(amort_table_1[Total EMI], ROW()-11)))</f>
        <v/>
      </c>
    </row>
    <row r="380" spans="2:3">
      <c r="B380" s="29" t="str" cm="1">
        <f t="array" ref="B380">IFERROR(INDEX(amort_table_1[Due date],ROW()-11),"")</f>
        <v/>
      </c>
      <c r="C380" s="25" t="str" cm="1">
        <f t="array" ref="C380">IF(B380="","",-(INDEX(amort_table_1[Total EMI], ROW()-11)))</f>
        <v/>
      </c>
    </row>
    <row r="381" spans="2:3">
      <c r="B381" s="29" t="str" cm="1">
        <f t="array" ref="B381">IFERROR(INDEX(amort_table_1[Due date],ROW()-11),"")</f>
        <v/>
      </c>
      <c r="C381" s="25" t="str" cm="1">
        <f t="array" ref="C381">IF(B381="","",-(INDEX(amort_table_1[Total EMI], ROW()-11)))</f>
        <v/>
      </c>
    </row>
    <row r="382" spans="2:3">
      <c r="B382" s="29" t="str" cm="1">
        <f t="array" ref="B382">IFERROR(INDEX(amort_table_1[Due date],ROW()-11),"")</f>
        <v/>
      </c>
      <c r="C382" s="25" t="str" cm="1">
        <f t="array" ref="C382">IF(B382="","",-(INDEX(amort_table_1[Total EMI], ROW()-11)))</f>
        <v/>
      </c>
    </row>
    <row r="383" spans="2:3">
      <c r="B383" s="29" t="str" cm="1">
        <f t="array" ref="B383">IFERROR(INDEX(amort_table_1[Due date],ROW()-11),"")</f>
        <v/>
      </c>
      <c r="C383" s="25" t="str" cm="1">
        <f t="array" ref="C383">IF(B383="","",-(INDEX(amort_table_1[Total EMI], ROW()-11)))</f>
        <v/>
      </c>
    </row>
    <row r="384" spans="2:3">
      <c r="B384" s="29" t="str" cm="1">
        <f t="array" ref="B384">IFERROR(INDEX(amort_table_1[Due date],ROW()-11),"")</f>
        <v/>
      </c>
      <c r="C384" s="25" t="str" cm="1">
        <f t="array" ref="C384">IF(B384="","",-(INDEX(amort_table_1[Total EMI], ROW()-11)))</f>
        <v/>
      </c>
    </row>
    <row r="385" spans="2:3">
      <c r="B385" s="29" t="str" cm="1">
        <f t="array" ref="B385">IFERROR(INDEX(amort_table_1[Due date],ROW()-11),"")</f>
        <v/>
      </c>
      <c r="C385" s="25" t="str" cm="1">
        <f t="array" ref="C385">IF(B385="","",-(INDEX(amort_table_1[Total EMI], ROW()-11)))</f>
        <v/>
      </c>
    </row>
    <row r="386" spans="2:3">
      <c r="B386" s="29" t="str" cm="1">
        <f t="array" ref="B386">IFERROR(INDEX(amort_table_1[Due date],ROW()-11),"")</f>
        <v/>
      </c>
      <c r="C386" s="25" t="str" cm="1">
        <f t="array" ref="C386">IF(B386="","",-(INDEX(amort_table_1[Total EMI], ROW()-11)))</f>
        <v/>
      </c>
    </row>
    <row r="387" spans="2:3">
      <c r="B387" s="29" t="str" cm="1">
        <f t="array" ref="B387">IFERROR(INDEX(amort_table_1[Due date],ROW()-11),"")</f>
        <v/>
      </c>
      <c r="C387" s="25" t="str" cm="1">
        <f t="array" ref="C387">IF(B387="","",-(INDEX(amort_table_1[Total EMI], ROW()-11)))</f>
        <v/>
      </c>
    </row>
    <row r="388" spans="2:3">
      <c r="B388" s="29" t="str" cm="1">
        <f t="array" ref="B388">IFERROR(INDEX(amort_table_1[Due date],ROW()-11),"")</f>
        <v/>
      </c>
      <c r="C388" s="25" t="str" cm="1">
        <f t="array" ref="C388">IF(B388="","",-(INDEX(amort_table_1[Total EMI], ROW()-11)))</f>
        <v/>
      </c>
    </row>
    <row r="389" spans="2:3">
      <c r="B389" s="29" t="str" cm="1">
        <f t="array" ref="B389">IFERROR(INDEX(amort_table_1[Due date],ROW()-11),"")</f>
        <v/>
      </c>
      <c r="C389" s="25" t="str" cm="1">
        <f t="array" ref="C389">IF(B389="","",-(INDEX(amort_table_1[Total EMI], ROW()-11)))</f>
        <v/>
      </c>
    </row>
    <row r="390" spans="2:3">
      <c r="B390" s="29" t="str" cm="1">
        <f t="array" ref="B390">IFERROR(INDEX(amort_table_1[Due date],ROW()-11),"")</f>
        <v/>
      </c>
      <c r="C390" s="25" t="str" cm="1">
        <f t="array" ref="C390">IF(B390="","",-(INDEX(amort_table_1[Total EMI], ROW()-11)))</f>
        <v/>
      </c>
    </row>
    <row r="391" spans="2:3">
      <c r="B391" s="29" t="str" cm="1">
        <f t="array" ref="B391">IFERROR(INDEX(amort_table_1[Due date],ROW()-11),"")</f>
        <v/>
      </c>
      <c r="C391" s="25" t="str" cm="1">
        <f t="array" ref="C391">IF(B391="","",-(INDEX(amort_table_1[Total EMI], ROW()-11)))</f>
        <v/>
      </c>
    </row>
    <row r="392" spans="2:3">
      <c r="B392" s="29" t="str" cm="1">
        <f t="array" ref="B392">IFERROR(INDEX(amort_table_1[Due date],ROW()-11),"")</f>
        <v/>
      </c>
      <c r="C392" s="25" t="str" cm="1">
        <f t="array" ref="C392">IF(B392="","",-(INDEX(amort_table_1[Total EMI], ROW()-11)))</f>
        <v/>
      </c>
    </row>
    <row r="393" spans="2:3">
      <c r="B393" s="29" t="str" cm="1">
        <f t="array" ref="B393">IFERROR(INDEX(amort_table_1[Due date],ROW()-11),"")</f>
        <v/>
      </c>
      <c r="C393" s="25" t="str" cm="1">
        <f t="array" ref="C393">IF(B393="","",-(INDEX(amort_table_1[Total EMI], ROW()-11)))</f>
        <v/>
      </c>
    </row>
    <row r="394" spans="2:3">
      <c r="B394" s="29" t="str" cm="1">
        <f t="array" ref="B394">IFERROR(INDEX(amort_table_1[Due date],ROW()-11),"")</f>
        <v/>
      </c>
      <c r="C394" s="25" t="str" cm="1">
        <f t="array" ref="C394">IF(B394="","",-(INDEX(amort_table_1[Total EMI], ROW()-11)))</f>
        <v/>
      </c>
    </row>
    <row r="395" spans="2:3">
      <c r="B395" s="29" t="str" cm="1">
        <f t="array" ref="B395">IFERROR(INDEX(amort_table_1[Due date],ROW()-11),"")</f>
        <v/>
      </c>
      <c r="C395" s="25" t="str" cm="1">
        <f t="array" ref="C395">IF(B395="","",-(INDEX(amort_table_1[Total EMI], ROW()-11)))</f>
        <v/>
      </c>
    </row>
    <row r="396" spans="2:3">
      <c r="B396" s="29" t="str" cm="1">
        <f t="array" ref="B396">IFERROR(INDEX(amort_table_1[Due date],ROW()-11),"")</f>
        <v/>
      </c>
      <c r="C396" s="25" t="str" cm="1">
        <f t="array" ref="C396">IF(B396="","",-(INDEX(amort_table_1[Total EMI], ROW()-11)))</f>
        <v/>
      </c>
    </row>
    <row r="397" spans="2:3">
      <c r="B397" s="29" t="str" cm="1">
        <f t="array" ref="B397">IFERROR(INDEX(amort_table_1[Due date],ROW()-11),"")</f>
        <v/>
      </c>
      <c r="C397" s="25" t="str" cm="1">
        <f t="array" ref="C397">IF(B397="","",-(INDEX(amort_table_1[Total EMI], ROW()-11)))</f>
        <v/>
      </c>
    </row>
    <row r="398" spans="2:3">
      <c r="B398" s="29" t="str" cm="1">
        <f t="array" ref="B398">IFERROR(INDEX(amort_table_1[Due date],ROW()-11),"")</f>
        <v/>
      </c>
      <c r="C398" s="25" t="str" cm="1">
        <f t="array" ref="C398">IF(B398="","",-(INDEX(amort_table_1[Total EMI], ROW()-11)))</f>
        <v/>
      </c>
    </row>
    <row r="399" spans="2:3">
      <c r="B399" s="29" t="str" cm="1">
        <f t="array" ref="B399">IFERROR(INDEX(amort_table_1[Due date],ROW()-11),"")</f>
        <v/>
      </c>
      <c r="C399" s="25" t="str" cm="1">
        <f t="array" ref="C399">IF(B399="","",-(INDEX(amort_table_1[Total EMI], ROW()-11)))</f>
        <v/>
      </c>
    </row>
    <row r="400" spans="2:3">
      <c r="B400" s="29" t="str" cm="1">
        <f t="array" ref="B400">IFERROR(INDEX(amort_table_1[Due date],ROW()-11),"")</f>
        <v/>
      </c>
      <c r="C400" s="25" t="str" cm="1">
        <f t="array" ref="C400">IF(B400="","",-(INDEX(amort_table_1[Total EMI], ROW()-11)))</f>
        <v/>
      </c>
    </row>
    <row r="401" spans="2:3">
      <c r="B401" s="29" t="str" cm="1">
        <f t="array" ref="B401">IFERROR(INDEX(amort_table_1[Due date],ROW()-11),"")</f>
        <v/>
      </c>
      <c r="C401" s="25" t="str" cm="1">
        <f t="array" ref="C401">IF(B401="","",-(INDEX(amort_table_1[Total EMI], ROW()-11)))</f>
        <v/>
      </c>
    </row>
    <row r="402" spans="2:3">
      <c r="B402" s="29" t="str" cm="1">
        <f t="array" ref="B402">IFERROR(INDEX(amort_table_1[Due date],ROW()-11),"")</f>
        <v/>
      </c>
      <c r="C402" s="25" t="str" cm="1">
        <f t="array" ref="C402">IF(B402="","",-(INDEX(amort_table_1[Total EMI], ROW()-11)))</f>
        <v/>
      </c>
    </row>
    <row r="403" spans="2:3">
      <c r="B403" s="29" t="str" cm="1">
        <f t="array" ref="B403">IFERROR(INDEX(amort_table_1[Due date],ROW()-11),"")</f>
        <v/>
      </c>
      <c r="C403" s="25" t="str" cm="1">
        <f t="array" ref="C403">IF(B403="","",-(INDEX(amort_table_1[Total EMI], ROW()-11)))</f>
        <v/>
      </c>
    </row>
    <row r="404" spans="2:3">
      <c r="B404" s="29" t="str" cm="1">
        <f t="array" ref="B404">IFERROR(INDEX(amort_table_1[Due date],ROW()-11),"")</f>
        <v/>
      </c>
      <c r="C404" s="25" t="str" cm="1">
        <f t="array" ref="C404">IF(B404="","",-(INDEX(amort_table_1[Total EMI], ROW()-11)))</f>
        <v/>
      </c>
    </row>
    <row r="405" spans="2:3">
      <c r="B405" s="29" t="str" cm="1">
        <f t="array" ref="B405">IFERROR(INDEX(amort_table_1[Due date],ROW()-11),"")</f>
        <v/>
      </c>
      <c r="C405" s="25" t="str" cm="1">
        <f t="array" ref="C405">IF(B405="","",-(INDEX(amort_table_1[Total EMI], ROW()-11)))</f>
        <v/>
      </c>
    </row>
    <row r="406" spans="2:3">
      <c r="B406" s="29" t="str" cm="1">
        <f t="array" ref="B406">IFERROR(INDEX(amort_table_1[Due date],ROW()-11),"")</f>
        <v/>
      </c>
      <c r="C406" s="25" t="str" cm="1">
        <f t="array" ref="C406">IF(B406="","",-(INDEX(amort_table_1[Total EMI], ROW()-11)))</f>
        <v/>
      </c>
    </row>
    <row r="407" spans="2:3">
      <c r="B407" s="29" t="str" cm="1">
        <f t="array" ref="B407">IFERROR(INDEX(amort_table_1[Due date],ROW()-11),"")</f>
        <v/>
      </c>
      <c r="C407" s="25" t="str" cm="1">
        <f t="array" ref="C407">IF(B407="","",-(INDEX(amort_table_1[Total EMI], ROW()-11)))</f>
        <v/>
      </c>
    </row>
    <row r="408" spans="2:3">
      <c r="B408" s="29" t="str" cm="1">
        <f t="array" ref="B408">IFERROR(INDEX(amort_table_1[Due date],ROW()-11),"")</f>
        <v/>
      </c>
      <c r="C408" s="25" t="str" cm="1">
        <f t="array" ref="C408">IF(B408="","",-(INDEX(amort_table_1[Total EMI], ROW()-11)))</f>
        <v/>
      </c>
    </row>
    <row r="409" spans="2:3">
      <c r="B409" s="29" t="str" cm="1">
        <f t="array" ref="B409">IFERROR(INDEX(amort_table_1[Due date],ROW()-11),"")</f>
        <v/>
      </c>
      <c r="C409" s="25" t="str" cm="1">
        <f t="array" ref="C409">IF(B409="","",-(INDEX(amort_table_1[Total EMI], ROW()-11)))</f>
        <v/>
      </c>
    </row>
    <row r="410" spans="2:3">
      <c r="B410" s="29" t="str" cm="1">
        <f t="array" ref="B410">IFERROR(INDEX(amort_table_1[Due date],ROW()-11),"")</f>
        <v/>
      </c>
      <c r="C410" s="25" t="str" cm="1">
        <f t="array" ref="C410">IF(B410="","",-(INDEX(amort_table_1[Total EMI], ROW()-11)))</f>
        <v/>
      </c>
    </row>
    <row r="411" spans="2:3">
      <c r="B411" s="29" t="str" cm="1">
        <f t="array" ref="B411">IFERROR(INDEX(amort_table_1[Due date],ROW()-11),"")</f>
        <v/>
      </c>
      <c r="C411" s="25" t="str" cm="1">
        <f t="array" ref="C411">IF(B411="","",-(INDEX(amort_table_1[Total EMI], ROW()-11)))</f>
        <v/>
      </c>
    </row>
    <row r="412" spans="2:3">
      <c r="B412" s="29" t="str" cm="1">
        <f t="array" ref="B412">IFERROR(INDEX(amort_table_1[Due date],ROW()-11),"")</f>
        <v/>
      </c>
      <c r="C412" s="25" t="str" cm="1">
        <f t="array" ref="C412">IF(B412="","",-(INDEX(amort_table_1[Total EMI], ROW()-11)))</f>
        <v/>
      </c>
    </row>
    <row r="413" spans="2:3">
      <c r="B413" s="29" t="str" cm="1">
        <f t="array" ref="B413">IFERROR(INDEX(amort_table_1[Due date],ROW()-11),"")</f>
        <v/>
      </c>
      <c r="C413" s="25" t="str" cm="1">
        <f t="array" ref="C413">IF(B413="","",-(INDEX(amort_table_1[Total EMI], ROW()-11)))</f>
        <v/>
      </c>
    </row>
    <row r="414" spans="2:3">
      <c r="B414" s="29" t="str" cm="1">
        <f t="array" ref="B414">IFERROR(INDEX(amort_table_1[Due date],ROW()-11),"")</f>
        <v/>
      </c>
      <c r="C414" s="25" t="str" cm="1">
        <f t="array" ref="C414">IF(B414="","",-(INDEX(amort_table_1[Total EMI], ROW()-11)))</f>
        <v/>
      </c>
    </row>
    <row r="415" spans="2:3">
      <c r="B415" s="29" t="str" cm="1">
        <f t="array" ref="B415">IFERROR(INDEX(amort_table_1[Due date],ROW()-11),"")</f>
        <v/>
      </c>
      <c r="C415" s="25" t="str" cm="1">
        <f t="array" ref="C415">IF(B415="","",-(INDEX(amort_table_1[Total EMI], ROW()-11)))</f>
        <v/>
      </c>
    </row>
    <row r="416" spans="2:3">
      <c r="B416" s="29" t="str" cm="1">
        <f t="array" ref="B416">IFERROR(INDEX(amort_table_1[Due date],ROW()-11),"")</f>
        <v/>
      </c>
      <c r="C416" s="25" t="str" cm="1">
        <f t="array" ref="C416">IF(B416="","",-(INDEX(amort_table_1[Total EMI], ROW()-11)))</f>
        <v/>
      </c>
    </row>
    <row r="417" spans="2:3">
      <c r="B417" s="29" t="str" cm="1">
        <f t="array" ref="B417">IFERROR(INDEX(amort_table_1[Due date],ROW()-11),"")</f>
        <v/>
      </c>
      <c r="C417" s="25" t="str" cm="1">
        <f t="array" ref="C417">IF(B417="","",-(INDEX(amort_table_1[Total EMI], ROW()-11)))</f>
        <v/>
      </c>
    </row>
    <row r="418" spans="2:3">
      <c r="B418" s="29" t="str" cm="1">
        <f t="array" ref="B418">IFERROR(INDEX(amort_table_1[Due date],ROW()-11),"")</f>
        <v/>
      </c>
      <c r="C418" s="25" t="str" cm="1">
        <f t="array" ref="C418">IF(B418="","",-(INDEX(amort_table_1[Total EMI], ROW()-11)))</f>
        <v/>
      </c>
    </row>
    <row r="419" spans="2:3">
      <c r="B419" s="29" t="str" cm="1">
        <f t="array" ref="B419">IFERROR(INDEX(amort_table_1[Due date],ROW()-11),"")</f>
        <v/>
      </c>
      <c r="C419" s="25" t="str" cm="1">
        <f t="array" ref="C419">IF(B419="","",-(INDEX(amort_table_1[Total EMI], ROW()-11)))</f>
        <v/>
      </c>
    </row>
    <row r="420" spans="2:3">
      <c r="B420" s="29" t="str" cm="1">
        <f t="array" ref="B420">IFERROR(INDEX(amort_table_1[Due date],ROW()-11),"")</f>
        <v/>
      </c>
      <c r="C420" s="25" t="str" cm="1">
        <f t="array" ref="C420">IF(B420="","",-(INDEX(amort_table_1[Total EMI], ROW()-11)))</f>
        <v/>
      </c>
    </row>
    <row r="421" spans="2:3">
      <c r="B421" s="29" t="str" cm="1">
        <f t="array" ref="B421">IFERROR(INDEX(amort_table_1[Due date],ROW()-11),"")</f>
        <v/>
      </c>
      <c r="C421" s="25" t="str" cm="1">
        <f t="array" ref="C421">IF(B421="","",-(INDEX(amort_table_1[Total EMI], ROW()-11)))</f>
        <v/>
      </c>
    </row>
    <row r="422" spans="2:3">
      <c r="B422" s="29" t="str" cm="1">
        <f t="array" ref="B422">IFERROR(INDEX(amort_table_1[Due date],ROW()-11),"")</f>
        <v/>
      </c>
      <c r="C422" s="25" t="str" cm="1">
        <f t="array" ref="C422">IF(B422="","",-(INDEX(amort_table_1[Total EMI], ROW()-11)))</f>
        <v/>
      </c>
    </row>
    <row r="423" spans="2:3">
      <c r="B423" s="29" t="str" cm="1">
        <f t="array" ref="B423">IFERROR(INDEX(amort_table_1[Due date],ROW()-11),"")</f>
        <v/>
      </c>
      <c r="C423" s="25" t="str" cm="1">
        <f t="array" ref="C423">IF(B423="","",-(INDEX(amort_table_1[Total EMI], ROW()-11)))</f>
        <v/>
      </c>
    </row>
    <row r="424" spans="2:3">
      <c r="B424" s="29" t="str" cm="1">
        <f t="array" ref="B424">IFERROR(INDEX(amort_table_1[Due date],ROW()-11),"")</f>
        <v/>
      </c>
      <c r="C424" s="25" t="str" cm="1">
        <f t="array" ref="C424">IF(B424="","",-(INDEX(amort_table_1[Total EMI], ROW()-11)))</f>
        <v/>
      </c>
    </row>
    <row r="425" spans="2:3">
      <c r="B425" s="29" t="str" cm="1">
        <f t="array" ref="B425">IFERROR(INDEX(amort_table_1[Due date],ROW()-11),"")</f>
        <v/>
      </c>
      <c r="C425" s="25" t="str" cm="1">
        <f t="array" ref="C425">IF(B425="","",-(INDEX(amort_table_1[Total EMI], ROW()-11)))</f>
        <v/>
      </c>
    </row>
    <row r="426" spans="2:3">
      <c r="B426" s="29" t="str" cm="1">
        <f t="array" ref="B426">IFERROR(INDEX(amort_table_1[Due date],ROW()-11),"")</f>
        <v/>
      </c>
      <c r="C426" s="25" t="str" cm="1">
        <f t="array" ref="C426">IF(B426="","",-(INDEX(amort_table_1[Total EMI], ROW()-11)))</f>
        <v/>
      </c>
    </row>
    <row r="427" spans="2:3">
      <c r="B427" s="29" t="str" cm="1">
        <f t="array" ref="B427">IFERROR(INDEX(amort_table_1[Due date],ROW()-11),"")</f>
        <v/>
      </c>
      <c r="C427" s="25" t="str" cm="1">
        <f t="array" ref="C427">IF(B427="","",-(INDEX(amort_table_1[Total EMI], ROW()-11)))</f>
        <v/>
      </c>
    </row>
    <row r="428" spans="2:3">
      <c r="B428" s="29" t="str" cm="1">
        <f t="array" ref="B428">IFERROR(INDEX(amort_table_1[Due date],ROW()-11),"")</f>
        <v/>
      </c>
      <c r="C428" s="25" t="str" cm="1">
        <f t="array" ref="C428">IF(B428="","",-(INDEX(amort_table_1[Total EMI], ROW()-11)))</f>
        <v/>
      </c>
    </row>
    <row r="429" spans="2:3">
      <c r="B429" s="29" t="str" cm="1">
        <f t="array" ref="B429">IFERROR(INDEX(amort_table_1[Due date],ROW()-11),"")</f>
        <v/>
      </c>
      <c r="C429" s="25" t="str" cm="1">
        <f t="array" ref="C429">IF(B429="","",-(INDEX(amort_table_1[Total EMI], ROW()-11)))</f>
        <v/>
      </c>
    </row>
    <row r="430" spans="2:3">
      <c r="B430" s="29" t="str" cm="1">
        <f t="array" ref="B430">IFERROR(INDEX(amort_table_1[Due date],ROW()-11),"")</f>
        <v/>
      </c>
      <c r="C430" s="25" t="str" cm="1">
        <f t="array" ref="C430">IF(B430="","",-(INDEX(amort_table_1[Total EMI], ROW()-11)))</f>
        <v/>
      </c>
    </row>
    <row r="431" spans="2:3">
      <c r="B431" s="29" t="str" cm="1">
        <f t="array" ref="B431">IFERROR(INDEX(amort_table_1[Due date],ROW()-11),"")</f>
        <v/>
      </c>
      <c r="C431" s="25" t="str" cm="1">
        <f t="array" ref="C431">IF(B431="","",-(INDEX(amort_table_1[Total EMI], ROW()-11)))</f>
        <v/>
      </c>
    </row>
    <row r="432" spans="2:3">
      <c r="B432" s="29" t="str" cm="1">
        <f t="array" ref="B432">IFERROR(INDEX(amort_table_1[Due date],ROW()-11),"")</f>
        <v/>
      </c>
      <c r="C432" s="25" t="str" cm="1">
        <f t="array" ref="C432">IF(B432="","",-(INDEX(amort_table_1[Total EMI], ROW()-11)))</f>
        <v/>
      </c>
    </row>
    <row r="433" spans="2:3">
      <c r="B433" s="29" t="str" cm="1">
        <f t="array" ref="B433">IFERROR(INDEX(amort_table_1[Due date],ROW()-11),"")</f>
        <v/>
      </c>
      <c r="C433" s="25" t="str" cm="1">
        <f t="array" ref="C433">IF(B433="","",-(INDEX(amort_table_1[Total EMI], ROW()-11)))</f>
        <v/>
      </c>
    </row>
    <row r="434" spans="2:3">
      <c r="B434" s="29" t="str" cm="1">
        <f t="array" ref="B434">IFERROR(INDEX(amort_table_1[Due date],ROW()-11),"")</f>
        <v/>
      </c>
      <c r="C434" s="25" t="str" cm="1">
        <f t="array" ref="C434">IF(B434="","",-(INDEX(amort_table_1[Total EMI], ROW()-11)))</f>
        <v/>
      </c>
    </row>
    <row r="435" spans="2:3">
      <c r="B435" s="29" t="str" cm="1">
        <f t="array" ref="B435">IFERROR(INDEX(amort_table_1[Due date],ROW()-11),"")</f>
        <v/>
      </c>
      <c r="C435" s="25" t="str" cm="1">
        <f t="array" ref="C435">IF(B435="","",-(INDEX(amort_table_1[Total EMI], ROW()-11)))</f>
        <v/>
      </c>
    </row>
    <row r="436" spans="2:3">
      <c r="B436" s="29" t="str" cm="1">
        <f t="array" ref="B436">IFERROR(INDEX(amort_table_1[Due date],ROW()-11),"")</f>
        <v/>
      </c>
      <c r="C436" s="25" t="str" cm="1">
        <f t="array" ref="C436">IF(B436="","",-(INDEX(amort_table_1[Total EMI], ROW()-11)))</f>
        <v/>
      </c>
    </row>
    <row r="437" spans="2:3">
      <c r="B437" s="29" t="str" cm="1">
        <f t="array" ref="B437">IFERROR(INDEX(amort_table_1[Due date],ROW()-11),"")</f>
        <v/>
      </c>
      <c r="C437" s="25" t="str" cm="1">
        <f t="array" ref="C437">IF(B437="","",-(INDEX(amort_table_1[Total EMI], ROW()-11)))</f>
        <v/>
      </c>
    </row>
    <row r="438" spans="2:3">
      <c r="B438" s="29" t="str" cm="1">
        <f t="array" ref="B438">IFERROR(INDEX(amort_table_1[Due date],ROW()-11),"")</f>
        <v/>
      </c>
      <c r="C438" s="25" t="str" cm="1">
        <f t="array" ref="C438">IF(B438="","",-(INDEX(amort_table_1[Total EMI], ROW()-11)))</f>
        <v/>
      </c>
    </row>
    <row r="439" spans="2:3">
      <c r="B439" s="29" t="str" cm="1">
        <f t="array" ref="B439">IFERROR(INDEX(amort_table_1[Due date],ROW()-11),"")</f>
        <v/>
      </c>
      <c r="C439" s="25" t="str" cm="1">
        <f t="array" ref="C439">IF(B439="","",-(INDEX(amort_table_1[Total EMI], ROW()-11)))</f>
        <v/>
      </c>
    </row>
    <row r="440" spans="2:3">
      <c r="B440" s="29" t="str" cm="1">
        <f t="array" ref="B440">IFERROR(INDEX(amort_table_1[Due date],ROW()-11),"")</f>
        <v/>
      </c>
      <c r="C440" s="25" t="str" cm="1">
        <f t="array" ref="C440">IF(B440="","",-(INDEX(amort_table_1[Total EMI], ROW()-11)))</f>
        <v/>
      </c>
    </row>
    <row r="441" spans="2:3">
      <c r="B441" s="29" t="str" cm="1">
        <f t="array" ref="B441">IFERROR(INDEX(amort_table_1[Due date],ROW()-11),"")</f>
        <v/>
      </c>
      <c r="C441" s="25" t="str" cm="1">
        <f t="array" ref="C441">IF(B441="","",-(INDEX(amort_table_1[Total EMI], ROW()-11)))</f>
        <v/>
      </c>
    </row>
    <row r="442" spans="2:3">
      <c r="B442" s="29" t="str" cm="1">
        <f t="array" ref="B442">IFERROR(INDEX(amort_table_1[Due date],ROW()-11),"")</f>
        <v/>
      </c>
      <c r="C442" s="25" t="str" cm="1">
        <f t="array" ref="C442">IF(B442="","",-(INDEX(amort_table_1[Total EMI], ROW()-11)))</f>
        <v/>
      </c>
    </row>
    <row r="443" spans="2:3">
      <c r="B443" s="29" t="str" cm="1">
        <f t="array" ref="B443">IFERROR(INDEX(amort_table_1[Due date],ROW()-11),"")</f>
        <v/>
      </c>
      <c r="C443" s="25" t="str" cm="1">
        <f t="array" ref="C443">IF(B443="","",-(INDEX(amort_table_1[Total EMI], ROW()-11)))</f>
        <v/>
      </c>
    </row>
    <row r="444" spans="2:3">
      <c r="B444" s="29" t="str" cm="1">
        <f t="array" ref="B444">IFERROR(INDEX(amort_table_1[Due date],ROW()-11),"")</f>
        <v/>
      </c>
      <c r="C444" s="25" t="str" cm="1">
        <f t="array" ref="C444">IF(B444="","",-(INDEX(amort_table_1[Total EMI], ROW()-11)))</f>
        <v/>
      </c>
    </row>
    <row r="445" spans="2:3">
      <c r="B445" s="29" t="str" cm="1">
        <f t="array" ref="B445">IFERROR(INDEX(amort_table_1[Due date],ROW()-11),"")</f>
        <v/>
      </c>
      <c r="C445" s="25" t="str" cm="1">
        <f t="array" ref="C445">IF(B445="","",-(INDEX(amort_table_1[Total EMI], ROW()-11)))</f>
        <v/>
      </c>
    </row>
    <row r="446" spans="2:3">
      <c r="B446" s="29" t="str" cm="1">
        <f t="array" ref="B446">IFERROR(INDEX(amort_table_1[Due date],ROW()-11),"")</f>
        <v/>
      </c>
      <c r="C446" s="25" t="str" cm="1">
        <f t="array" ref="C446">IF(B446="","",-(INDEX(amort_table_1[Total EMI], ROW()-11)))</f>
        <v/>
      </c>
    </row>
    <row r="447" spans="2:3">
      <c r="B447" s="29" t="str" cm="1">
        <f t="array" ref="B447">IFERROR(INDEX(amort_table_1[Due date],ROW()-11),"")</f>
        <v/>
      </c>
      <c r="C447" s="25" t="str" cm="1">
        <f t="array" ref="C447">IF(B447="","",-(INDEX(amort_table_1[Total EMI], ROW()-11)))</f>
        <v/>
      </c>
    </row>
    <row r="448" spans="2:3">
      <c r="B448" s="29" t="str" cm="1">
        <f t="array" ref="B448">IFERROR(INDEX(amort_table_1[Due date],ROW()-11),"")</f>
        <v/>
      </c>
      <c r="C448" s="25" t="str" cm="1">
        <f t="array" ref="C448">IF(B448="","",-(INDEX(amort_table_1[Total EMI], ROW()-11)))</f>
        <v/>
      </c>
    </row>
    <row r="449" spans="2:3">
      <c r="B449" s="29" t="str" cm="1">
        <f t="array" ref="B449">IFERROR(INDEX(amort_table_1[Due date],ROW()-11),"")</f>
        <v/>
      </c>
      <c r="C449" s="25" t="str" cm="1">
        <f t="array" ref="C449">IF(B449="","",-(INDEX(amort_table_1[Total EMI], ROW()-11)))</f>
        <v/>
      </c>
    </row>
    <row r="450" spans="2:3">
      <c r="B450" s="29" t="str" cm="1">
        <f t="array" ref="B450">IFERROR(INDEX(amort_table_1[Due date],ROW()-11),"")</f>
        <v/>
      </c>
      <c r="C450" s="25" t="str" cm="1">
        <f t="array" ref="C450">IF(B450="","",-(INDEX(amort_table_1[Total EMI], ROW()-11)))</f>
        <v/>
      </c>
    </row>
    <row r="451" spans="2:3">
      <c r="B451" s="29" t="str" cm="1">
        <f t="array" ref="B451">IFERROR(INDEX(amort_table_1[Due date],ROW()-11),"")</f>
        <v/>
      </c>
      <c r="C451" s="25" t="str" cm="1">
        <f t="array" ref="C451">IF(B451="","",-(INDEX(amort_table_1[Total EMI], ROW()-11)))</f>
        <v/>
      </c>
    </row>
    <row r="452" spans="2:3">
      <c r="B452" s="29" t="str" cm="1">
        <f t="array" ref="B452">IFERROR(INDEX(amort_table_1[Due date],ROW()-11),"")</f>
        <v/>
      </c>
      <c r="C452" s="25" t="str" cm="1">
        <f t="array" ref="C452">IF(B452="","",-(INDEX(amort_table_1[Total EMI], ROW()-11)))</f>
        <v/>
      </c>
    </row>
    <row r="453" spans="2:3">
      <c r="B453" s="29" t="str" cm="1">
        <f t="array" ref="B453">IFERROR(INDEX(amort_table_1[Due date],ROW()-11),"")</f>
        <v/>
      </c>
      <c r="C453" s="25" t="str" cm="1">
        <f t="array" ref="C453">IF(B453="","",-(INDEX(amort_table_1[Total EMI], ROW()-11)))</f>
        <v/>
      </c>
    </row>
    <row r="454" spans="2:3">
      <c r="B454" s="29" t="str" cm="1">
        <f t="array" ref="B454">IFERROR(INDEX(amort_table_1[Due date],ROW()-11),"")</f>
        <v/>
      </c>
      <c r="C454" s="25" t="str" cm="1">
        <f t="array" ref="C454">IF(B454="","",-(INDEX(amort_table_1[Total EMI], ROW()-11)))</f>
        <v/>
      </c>
    </row>
    <row r="455" spans="2:3">
      <c r="B455" s="29" t="str" cm="1">
        <f t="array" ref="B455">IFERROR(INDEX(amort_table_1[Due date],ROW()-11),"")</f>
        <v/>
      </c>
      <c r="C455" s="25" t="str" cm="1">
        <f t="array" ref="C455">IF(B455="","",-(INDEX(amort_table_1[Total EMI], ROW()-11)))</f>
        <v/>
      </c>
    </row>
    <row r="456" spans="2:3">
      <c r="B456" s="29" t="str" cm="1">
        <f t="array" ref="B456">IFERROR(INDEX(amort_table_1[Due date],ROW()-11),"")</f>
        <v/>
      </c>
      <c r="C456" s="25" t="str" cm="1">
        <f t="array" ref="C456">IF(B456="","",-(INDEX(amort_table_1[Total EMI], ROW()-11)))</f>
        <v/>
      </c>
    </row>
    <row r="457" spans="2:3">
      <c r="B457" s="29" t="str" cm="1">
        <f t="array" ref="B457">IFERROR(INDEX(amort_table_1[Due date],ROW()-11),"")</f>
        <v/>
      </c>
      <c r="C457" s="25" t="str" cm="1">
        <f t="array" ref="C457">IF(B457="","",-(INDEX(amort_table_1[Total EMI], ROW()-11)))</f>
        <v/>
      </c>
    </row>
    <row r="458" spans="2:3">
      <c r="B458" s="29" t="str" cm="1">
        <f t="array" ref="B458">IFERROR(INDEX(amort_table_1[Due date],ROW()-11),"")</f>
        <v/>
      </c>
      <c r="C458" s="25" t="str" cm="1">
        <f t="array" ref="C458">IF(B458="","",-(INDEX(amort_table_1[Total EMI], ROW()-11)))</f>
        <v/>
      </c>
    </row>
    <row r="459" spans="2:3">
      <c r="B459" s="29" t="str" cm="1">
        <f t="array" ref="B459">IFERROR(INDEX(amort_table_1[Due date],ROW()-11),"")</f>
        <v/>
      </c>
      <c r="C459" s="25" t="str" cm="1">
        <f t="array" ref="C459">IF(B459="","",-(INDEX(amort_table_1[Total EMI], ROW()-11)))</f>
        <v/>
      </c>
    </row>
    <row r="460" spans="2:3">
      <c r="B460" s="29" t="str" cm="1">
        <f t="array" ref="B460">IFERROR(INDEX(amort_table_1[Due date],ROW()-11),"")</f>
        <v/>
      </c>
      <c r="C460" s="25" t="str" cm="1">
        <f t="array" ref="C460">IF(B460="","",-(INDEX(amort_table_1[Total EMI], ROW()-11)))</f>
        <v/>
      </c>
    </row>
    <row r="461" spans="2:3">
      <c r="B461" s="29" t="str" cm="1">
        <f t="array" ref="B461">IFERROR(INDEX(amort_table_1[Due date],ROW()-11),"")</f>
        <v/>
      </c>
      <c r="C461" s="25" t="str" cm="1">
        <f t="array" ref="C461">IF(B461="","",-(INDEX(amort_table_1[Total EMI], ROW()-11)))</f>
        <v/>
      </c>
    </row>
    <row r="462" spans="2:3">
      <c r="B462" s="29" t="str" cm="1">
        <f t="array" ref="B462">IFERROR(INDEX(amort_table_1[Due date],ROW()-11),"")</f>
        <v/>
      </c>
      <c r="C462" s="25" t="str" cm="1">
        <f t="array" ref="C462">IF(B462="","",-(INDEX(amort_table_1[Total EMI], ROW()-11)))</f>
        <v/>
      </c>
    </row>
    <row r="463" spans="2:3">
      <c r="B463" s="29" t="str" cm="1">
        <f t="array" ref="B463">IFERROR(INDEX(amort_table_1[Due date],ROW()-11),"")</f>
        <v/>
      </c>
      <c r="C463" s="25" t="str" cm="1">
        <f t="array" ref="C463">IF(B463="","",-(INDEX(amort_table_1[Total EMI], ROW()-11)))</f>
        <v/>
      </c>
    </row>
    <row r="464" spans="2:3">
      <c r="B464" s="29" t="str" cm="1">
        <f t="array" ref="B464">IFERROR(INDEX(amort_table_1[Due date],ROW()-11),"")</f>
        <v/>
      </c>
      <c r="C464" s="25" t="str" cm="1">
        <f t="array" ref="C464">IF(B464="","",-(INDEX(amort_table_1[Total EMI], ROW()-11)))</f>
        <v/>
      </c>
    </row>
    <row r="465" spans="2:3">
      <c r="B465" s="29" t="str" cm="1">
        <f t="array" ref="B465">IFERROR(INDEX(amort_table_1[Due date],ROW()-11),"")</f>
        <v/>
      </c>
      <c r="C465" s="25" t="str" cm="1">
        <f t="array" ref="C465">IF(B465="","",-(INDEX(amort_table_1[Total EMI], ROW()-11)))</f>
        <v/>
      </c>
    </row>
    <row r="466" spans="2:3">
      <c r="B466" s="29" t="str" cm="1">
        <f t="array" ref="B466">IFERROR(INDEX(amort_table_1[Due date],ROW()-11),"")</f>
        <v/>
      </c>
      <c r="C466" s="25" t="str" cm="1">
        <f t="array" ref="C466">IF(B466="","",-(INDEX(amort_table_1[Total EMI], ROW()-11)))</f>
        <v/>
      </c>
    </row>
    <row r="467" spans="2:3">
      <c r="B467" s="29" t="str" cm="1">
        <f t="array" ref="B467">IFERROR(INDEX(amort_table_1[Due date],ROW()-11),"")</f>
        <v/>
      </c>
      <c r="C467" s="25" t="str" cm="1">
        <f t="array" ref="C467">IF(B467="","",-(INDEX(amort_table_1[Total EMI], ROW()-11)))</f>
        <v/>
      </c>
    </row>
    <row r="468" spans="2:3">
      <c r="B468" s="29" t="str" cm="1">
        <f t="array" ref="B468">IFERROR(INDEX(amort_table_1[Due date],ROW()-11),"")</f>
        <v/>
      </c>
      <c r="C468" s="25" t="str" cm="1">
        <f t="array" ref="C468">IF(B468="","",-(INDEX(amort_table_1[Total EMI], ROW()-11)))</f>
        <v/>
      </c>
    </row>
    <row r="469" spans="2:3">
      <c r="B469" s="29" t="str" cm="1">
        <f t="array" ref="B469">IFERROR(INDEX(amort_table_1[Due date],ROW()-11),"")</f>
        <v/>
      </c>
      <c r="C469" s="25" t="str" cm="1">
        <f t="array" ref="C469">IF(B469="","",-(INDEX(amort_table_1[Total EMI], ROW()-11)))</f>
        <v/>
      </c>
    </row>
    <row r="470" spans="2:3">
      <c r="B470" s="29" t="str" cm="1">
        <f t="array" ref="B470">IFERROR(INDEX(amort_table_1[Due date],ROW()-11),"")</f>
        <v/>
      </c>
      <c r="C470" s="25" t="str" cm="1">
        <f t="array" ref="C470">IF(B470="","",-(INDEX(amort_table_1[Total EMI], ROW()-11)))</f>
        <v/>
      </c>
    </row>
    <row r="471" spans="2:3">
      <c r="B471" s="29" t="str" cm="1">
        <f t="array" ref="B471">IFERROR(INDEX(amort_table_1[Due date],ROW()-11),"")</f>
        <v/>
      </c>
      <c r="C471" s="25" t="str" cm="1">
        <f t="array" ref="C471">IF(B471="","",-(INDEX(amort_table_1[Total EMI], ROW()-11)))</f>
        <v/>
      </c>
    </row>
    <row r="472" spans="2:3">
      <c r="B472" s="29" t="str" cm="1">
        <f t="array" ref="B472">IFERROR(INDEX(amort_table_1[Due date],ROW()-11),"")</f>
        <v/>
      </c>
      <c r="C472" s="25" t="str" cm="1">
        <f t="array" ref="C472">IF(B472="","",-(INDEX(amort_table_1[Total EMI], ROW()-11)))</f>
        <v/>
      </c>
    </row>
    <row r="473" spans="2:3">
      <c r="B473" s="29" t="str" cm="1">
        <f t="array" ref="B473">IFERROR(INDEX(amort_table_1[Due date],ROW()-11),"")</f>
        <v/>
      </c>
      <c r="C473" s="25" t="str" cm="1">
        <f t="array" ref="C473">IF(B473="","",-(INDEX(amort_table_1[Total EMI], ROW()-11)))</f>
        <v/>
      </c>
    </row>
    <row r="474" spans="2:3">
      <c r="B474" s="29" t="str" cm="1">
        <f t="array" ref="B474">IFERROR(INDEX(amort_table_1[Due date],ROW()-11),"")</f>
        <v/>
      </c>
      <c r="C474" s="25" t="str" cm="1">
        <f t="array" ref="C474">IF(B474="","",-(INDEX(amort_table_1[Total EMI], ROW()-11)))</f>
        <v/>
      </c>
    </row>
    <row r="475" spans="2:3">
      <c r="B475" s="29" t="str" cm="1">
        <f t="array" ref="B475">IFERROR(INDEX(amort_table_1[Due date],ROW()-11),"")</f>
        <v/>
      </c>
      <c r="C475" s="25" t="str" cm="1">
        <f t="array" ref="C475">IF(B475="","",-(INDEX(amort_table_1[Total EMI], ROW()-11)))</f>
        <v/>
      </c>
    </row>
    <row r="476" spans="2:3">
      <c r="B476" s="29" t="str" cm="1">
        <f t="array" ref="B476">IFERROR(INDEX(amort_table_1[Due date],ROW()-11),"")</f>
        <v/>
      </c>
      <c r="C476" s="25" t="str" cm="1">
        <f t="array" ref="C476">IF(B476="","",-(INDEX(amort_table_1[Total EMI], ROW()-11)))</f>
        <v/>
      </c>
    </row>
    <row r="477" spans="2:3">
      <c r="B477" s="29" t="str" cm="1">
        <f t="array" ref="B477">IFERROR(INDEX(amort_table_1[Due date],ROW()-11),"")</f>
        <v/>
      </c>
      <c r="C477" s="25" t="str" cm="1">
        <f t="array" ref="C477">IF(B477="","",-(INDEX(amort_table_1[Total EMI], ROW()-11)))</f>
        <v/>
      </c>
    </row>
    <row r="478" spans="2:3">
      <c r="B478" s="29" t="str" cm="1">
        <f t="array" ref="B478">IFERROR(INDEX(amort_table_1[Due date],ROW()-11),"")</f>
        <v/>
      </c>
      <c r="C478" s="25" t="str" cm="1">
        <f t="array" ref="C478">IF(B478="","",-(INDEX(amort_table_1[Total EMI], ROW()-11)))</f>
        <v/>
      </c>
    </row>
    <row r="479" spans="2:3">
      <c r="B479" s="29" t="str" cm="1">
        <f t="array" ref="B479">IFERROR(INDEX(amort_table_1[Due date],ROW()-11),"")</f>
        <v/>
      </c>
      <c r="C479" s="25" t="str" cm="1">
        <f t="array" ref="C479">IF(B479="","",-(INDEX(amort_table_1[Total EMI], ROW()-11)))</f>
        <v/>
      </c>
    </row>
    <row r="480" spans="2:3">
      <c r="B480" s="29" t="str" cm="1">
        <f t="array" ref="B480">IFERROR(INDEX(amort_table_1[Due date],ROW()-11),"")</f>
        <v/>
      </c>
      <c r="C480" s="25" t="str" cm="1">
        <f t="array" ref="C480">IF(B480="","",-(INDEX(amort_table_1[Total EMI], ROW()-11)))</f>
        <v/>
      </c>
    </row>
    <row r="481" spans="2:3">
      <c r="B481" s="29" t="str" cm="1">
        <f t="array" ref="B481">IFERROR(INDEX(amort_table_1[Due date],ROW()-11),"")</f>
        <v/>
      </c>
      <c r="C481" s="25" t="str" cm="1">
        <f t="array" ref="C481">IF(B481="","",-(INDEX(amort_table_1[Total EMI], ROW()-11)))</f>
        <v/>
      </c>
    </row>
    <row r="482" spans="2:3">
      <c r="B482" s="29" t="str" cm="1">
        <f t="array" ref="B482">IFERROR(INDEX(amort_table_1[Due date],ROW()-11),"")</f>
        <v/>
      </c>
      <c r="C482" s="25" t="str" cm="1">
        <f t="array" ref="C482">IF(B482="","",-(INDEX(amort_table_1[Total EMI], ROW()-11)))</f>
        <v/>
      </c>
    </row>
    <row r="483" spans="2:3">
      <c r="B483" s="29" t="str" cm="1">
        <f t="array" ref="B483">IFERROR(INDEX(amort_table_1[Due date],ROW()-11),"")</f>
        <v/>
      </c>
      <c r="C483" s="25" t="str" cm="1">
        <f t="array" ref="C483">IF(B483="","",-(INDEX(amort_table_1[Total EMI], ROW()-11)))</f>
        <v/>
      </c>
    </row>
    <row r="484" spans="2:3">
      <c r="B484" s="29" t="str" cm="1">
        <f t="array" ref="B484">IFERROR(INDEX(amort_table_1[Due date],ROW()-11),"")</f>
        <v/>
      </c>
      <c r="C484" s="25" t="str" cm="1">
        <f t="array" ref="C484">IF(B484="","",-(INDEX(amort_table_1[Total EMI], ROW()-11)))</f>
        <v/>
      </c>
    </row>
    <row r="485" spans="2:3">
      <c r="B485" s="29" t="str" cm="1">
        <f t="array" ref="B485">IFERROR(INDEX(amort_table_1[Due date],ROW()-11),"")</f>
        <v/>
      </c>
      <c r="C485" s="25" t="str" cm="1">
        <f t="array" ref="C485">IF(B485="","",-(INDEX(amort_table_1[Total EMI], ROW()-11)))</f>
        <v/>
      </c>
    </row>
    <row r="486" spans="2:3">
      <c r="B486" s="29" t="str" cm="1">
        <f t="array" ref="B486">IFERROR(INDEX(amort_table_1[Due date],ROW()-11),"")</f>
        <v/>
      </c>
      <c r="C486" s="25" t="str" cm="1">
        <f t="array" ref="C486">IF(B486="","",-(INDEX(amort_table_1[Total EMI], ROW()-11)))</f>
        <v/>
      </c>
    </row>
    <row r="487" spans="2:3">
      <c r="B487" s="29" t="str" cm="1">
        <f t="array" ref="B487">IFERROR(INDEX(amort_table_1[Due date],ROW()-11),"")</f>
        <v/>
      </c>
      <c r="C487" s="25" t="str" cm="1">
        <f t="array" ref="C487">IF(B487="","",-(INDEX(amort_table_1[Total EMI], ROW()-11)))</f>
        <v/>
      </c>
    </row>
    <row r="488" spans="2:3">
      <c r="B488" s="29" t="str" cm="1">
        <f t="array" ref="B488">IFERROR(INDEX(amort_table_1[Due date],ROW()-11),"")</f>
        <v/>
      </c>
      <c r="C488" s="25" t="str" cm="1">
        <f t="array" ref="C488">IF(B488="","",-(INDEX(amort_table_1[Total EMI], ROW()-11)))</f>
        <v/>
      </c>
    </row>
    <row r="489" spans="2:3">
      <c r="B489" s="29" t="str" cm="1">
        <f t="array" ref="B489">IFERROR(INDEX(amort_table_1[Due date],ROW()-11),"")</f>
        <v/>
      </c>
      <c r="C489" s="25" t="str" cm="1">
        <f t="array" ref="C489">IF(B489="","",-(INDEX(amort_table_1[Total EMI], ROW()-11)))</f>
        <v/>
      </c>
    </row>
    <row r="490" spans="2:3">
      <c r="B490" s="29" t="str" cm="1">
        <f t="array" ref="B490">IFERROR(INDEX(amort_table_1[Due date],ROW()-11),"")</f>
        <v/>
      </c>
      <c r="C490" s="25" t="str" cm="1">
        <f t="array" ref="C490">IF(B490="","",-(INDEX(amort_table_1[Total EMI], ROW()-11)))</f>
        <v/>
      </c>
    </row>
    <row r="491" spans="2:3">
      <c r="B491" s="29" t="str" cm="1">
        <f t="array" ref="B491">IFERROR(INDEX(amort_table_1[Due date],ROW()-11),"")</f>
        <v/>
      </c>
      <c r="C491" s="25" t="str" cm="1">
        <f t="array" ref="C491">IF(B491="","",-(INDEX(amort_table_1[Total EMI], ROW()-11)))</f>
        <v/>
      </c>
    </row>
    <row r="492" spans="2:3">
      <c r="B492" s="29" t="str" cm="1">
        <f t="array" ref="B492">IFERROR(INDEX(amort_table_1[Due date],ROW()-11),"")</f>
        <v/>
      </c>
      <c r="C492" s="25" t="str" cm="1">
        <f t="array" ref="C492">IF(B492="","",-(INDEX(amort_table_1[Total EMI], ROW()-11)))</f>
        <v/>
      </c>
    </row>
    <row r="493" spans="2:3">
      <c r="B493" s="29" t="str" cm="1">
        <f t="array" ref="B493">IFERROR(INDEX(amort_table_1[Due date],ROW()-11),"")</f>
        <v/>
      </c>
      <c r="C493" s="25" t="str" cm="1">
        <f t="array" ref="C493">IF(B493="","",-(INDEX(amort_table_1[Total EMI], ROW()-11)))</f>
        <v/>
      </c>
    </row>
    <row r="494" spans="2:3">
      <c r="B494" s="29" t="str" cm="1">
        <f t="array" ref="B494">IFERROR(INDEX(amort_table_1[Due date],ROW()-11),"")</f>
        <v/>
      </c>
      <c r="C494" s="25" t="str" cm="1">
        <f t="array" ref="C494">IF(B494="","",-(INDEX(amort_table_1[Total EMI], ROW()-11)))</f>
        <v/>
      </c>
    </row>
    <row r="495" spans="2:3">
      <c r="B495" s="29" t="str" cm="1">
        <f t="array" ref="B495">IFERROR(INDEX(amort_table_1[Due date],ROW()-11),"")</f>
        <v/>
      </c>
      <c r="C495" s="25" t="str" cm="1">
        <f t="array" ref="C495">IF(B495="","",-(INDEX(amort_table_1[Total EMI], ROW()-11)))</f>
        <v/>
      </c>
    </row>
    <row r="496" spans="2:3">
      <c r="B496" s="29" t="str" cm="1">
        <f t="array" ref="B496">IFERROR(INDEX(amort_table_1[Due date],ROW()-11),"")</f>
        <v/>
      </c>
      <c r="C496" s="25" t="str" cm="1">
        <f t="array" ref="C496">IF(B496="","",-(INDEX(amort_table_1[Total EMI], ROW()-11)))</f>
        <v/>
      </c>
    </row>
    <row r="497" spans="2:3">
      <c r="B497" s="29" t="str" cm="1">
        <f t="array" ref="B497">IFERROR(INDEX(amort_table_1[Due date],ROW()-11),"")</f>
        <v/>
      </c>
      <c r="C497" s="25" t="str" cm="1">
        <f t="array" ref="C497">IF(B497="","",-(INDEX(amort_table_1[Total EMI], ROW()-11)))</f>
        <v/>
      </c>
    </row>
    <row r="498" spans="2:3">
      <c r="B498" s="29" t="str" cm="1">
        <f t="array" ref="B498">IFERROR(INDEX(amort_table_1[Due date],ROW()-11),"")</f>
        <v/>
      </c>
      <c r="C498" s="25" t="str" cm="1">
        <f t="array" ref="C498">IF(B498="","",-(INDEX(amort_table_1[Total EMI], ROW()-11)))</f>
        <v/>
      </c>
    </row>
    <row r="499" spans="2:3">
      <c r="B499" s="29" t="str" cm="1">
        <f t="array" ref="B499">IFERROR(INDEX(amort_table_1[Due date],ROW()-11),"")</f>
        <v/>
      </c>
      <c r="C499" s="25" t="str" cm="1">
        <f t="array" ref="C499">IF(B499="","",-(INDEX(amort_table_1[Total EMI], ROW()-11)))</f>
        <v/>
      </c>
    </row>
    <row r="500" spans="2:3">
      <c r="B500" s="29" t="str" cm="1">
        <f t="array" ref="B500">IFERROR(INDEX(amort_table_1[Due date],ROW()-11),"")</f>
        <v/>
      </c>
      <c r="C500" s="25" t="str" cm="1">
        <f t="array" ref="C500">IF(B500="","",-(INDEX(amort_table_1[Total EMI], ROW()-11)))</f>
        <v/>
      </c>
    </row>
    <row r="501" spans="2:3">
      <c r="B501" s="29" t="str" cm="1">
        <f t="array" ref="B501">IFERROR(INDEX(amort_table_1[Due date],ROW()-11),"")</f>
        <v/>
      </c>
      <c r="C501" s="25" t="str" cm="1">
        <f t="array" ref="C501">IF(B501="","",-(INDEX(amort_table_1[Total EMI], ROW()-11)))</f>
        <v/>
      </c>
    </row>
    <row r="502" spans="2:3">
      <c r="B502" s="29" t="str" cm="1">
        <f t="array" ref="B502">IFERROR(INDEX(amort_table_1[Due date],ROW()-11),"")</f>
        <v/>
      </c>
      <c r="C502" s="25" t="str" cm="1">
        <f t="array" ref="C502">IF(B502="","",-(INDEX(amort_table_1[Total EMI], ROW()-11)))</f>
        <v/>
      </c>
    </row>
    <row r="503" spans="2:3">
      <c r="B503" s="29" t="str" cm="1">
        <f t="array" ref="B503">IFERROR(INDEX(amort_table_1[Due date],ROW()-11),"")</f>
        <v/>
      </c>
      <c r="C503" s="25" t="str" cm="1">
        <f t="array" ref="C503">IF(B503="","",-(INDEX(amort_table_1[Total EMI], ROW()-11)))</f>
        <v/>
      </c>
    </row>
    <row r="504" spans="2:3">
      <c r="B504" s="29" t="str" cm="1">
        <f t="array" ref="B504">IFERROR(INDEX(amort_table_1[Due date],ROW()-11),"")</f>
        <v/>
      </c>
      <c r="C504" s="25" t="str" cm="1">
        <f t="array" ref="C504">IF(B504="","",-(INDEX(amort_table_1[Total EMI], ROW()-11)))</f>
        <v/>
      </c>
    </row>
    <row r="505" spans="2:3">
      <c r="B505" s="29" t="str" cm="1">
        <f t="array" ref="B505">IFERROR(INDEX(amort_table_1[Due date],ROW()-11),"")</f>
        <v/>
      </c>
      <c r="C505" s="25" t="str" cm="1">
        <f t="array" ref="C505">IF(B505="","",-(INDEX(amort_table_1[Total EMI], ROW()-11)))</f>
        <v/>
      </c>
    </row>
    <row r="506" spans="2:3">
      <c r="B506" s="29" t="str" cm="1">
        <f t="array" ref="B506">IFERROR(INDEX(amort_table_1[Due date],ROW()-11),"")</f>
        <v/>
      </c>
      <c r="C506" s="25" t="str" cm="1">
        <f t="array" ref="C506">IF(B506="","",-(INDEX(amort_table_1[Total EMI], ROW()-11)))</f>
        <v/>
      </c>
    </row>
    <row r="507" spans="2:3">
      <c r="B507" s="29" t="str" cm="1">
        <f t="array" ref="B507">IFERROR(INDEX(amort_table_1[Due date],ROW()-11),"")</f>
        <v/>
      </c>
      <c r="C507" s="25" t="str" cm="1">
        <f t="array" ref="C507">IF(B507="","",-(INDEX(amort_table_1[Total EMI], ROW()-11)))</f>
        <v/>
      </c>
    </row>
    <row r="508" spans="2:3">
      <c r="B508" s="29" t="str" cm="1">
        <f t="array" ref="B508">IFERROR(INDEX(amort_table_1[Due date],ROW()-11),"")</f>
        <v/>
      </c>
      <c r="C508" s="25" t="str" cm="1">
        <f t="array" ref="C508">IF(B508="","",-(INDEX(amort_table_1[Total EMI], ROW()-11)))</f>
        <v/>
      </c>
    </row>
    <row r="509" spans="2:3">
      <c r="B509" s="29" t="str" cm="1">
        <f t="array" ref="B509">IFERROR(INDEX(amort_table_1[Due date],ROW()-11),"")</f>
        <v/>
      </c>
      <c r="C509" s="25" t="str" cm="1">
        <f t="array" ref="C509">IF(B509="","",-(INDEX(amort_table_1[Total EMI], ROW()-11)))</f>
        <v/>
      </c>
    </row>
    <row r="510" spans="2:3">
      <c r="B510" s="29" t="str" cm="1">
        <f t="array" ref="B510">IFERROR(INDEX(amort_table_1[Due date],ROW()-11),"")</f>
        <v/>
      </c>
      <c r="C510" s="25" t="str" cm="1">
        <f t="array" ref="C510">IF(B510="","",-(INDEX(amort_table_1[Total EMI], ROW()-11)))</f>
        <v/>
      </c>
    </row>
    <row r="511" spans="2:3">
      <c r="B511" s="29" t="str" cm="1">
        <f t="array" ref="B511">IFERROR(INDEX(amort_table_1[Due date],ROW()-11),"")</f>
        <v/>
      </c>
      <c r="C511" s="25" t="str" cm="1">
        <f t="array" ref="C511">IF(B511="","",-(INDEX(amort_table_1[Total EMI], ROW()-11)))</f>
        <v/>
      </c>
    </row>
    <row r="512" spans="2:3">
      <c r="B512" s="29" t="str" cm="1">
        <f t="array" ref="B512">IFERROR(INDEX(amort_table_1[Due date],ROW()-11),"")</f>
        <v/>
      </c>
      <c r="C512" s="25" t="str" cm="1">
        <f t="array" ref="C512">IF(B512="","",-(INDEX(amort_table_1[Total EMI], ROW()-11)))</f>
        <v/>
      </c>
    </row>
    <row r="513" spans="2:3">
      <c r="B513" s="29" t="str" cm="1">
        <f t="array" ref="B513">IFERROR(INDEX(amort_table_1[Due date],ROW()-11),"")</f>
        <v/>
      </c>
      <c r="C513" s="25" t="str" cm="1">
        <f t="array" ref="C513">IF(B513="","",-(INDEX(amort_table_1[Total EMI], ROW()-11)))</f>
        <v/>
      </c>
    </row>
    <row r="514" spans="2:3">
      <c r="B514" s="29" t="str" cm="1">
        <f t="array" ref="B514">IFERROR(INDEX(amort_table_1[Due date],ROW()-11),"")</f>
        <v/>
      </c>
      <c r="C514" s="25" t="str" cm="1">
        <f t="array" ref="C514">IF(B514="","",-(INDEX(amort_table_1[Total EMI], ROW()-11)))</f>
        <v/>
      </c>
    </row>
    <row r="515" spans="2:3">
      <c r="B515" s="29" t="str" cm="1">
        <f t="array" ref="B515">IFERROR(INDEX(amort_table_1[Due date],ROW()-11),"")</f>
        <v/>
      </c>
      <c r="C515" s="25" t="str" cm="1">
        <f t="array" ref="C515">IF(B515="","",-(INDEX(amort_table_1[Total EMI], ROW()-11)))</f>
        <v/>
      </c>
    </row>
  </sheetData>
  <conditionalFormatting sqref="P10:P11">
    <cfRule type="expression" dxfId="0" priority="1">
      <formula>$I10="Paid"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53D2-BF69-3249-A811-F68D01332B58}">
  <dimension ref="B4:E14"/>
  <sheetViews>
    <sheetView tabSelected="1" zoomScale="130" zoomScaleNormal="130" workbookViewId="0">
      <selection activeCell="C14" sqref="C14"/>
    </sheetView>
  </sheetViews>
  <sheetFormatPr defaultColWidth="10.90625" defaultRowHeight="15"/>
  <cols>
    <col min="4" max="4" width="13.6328125" bestFit="1" customWidth="1"/>
    <col min="5" max="5" width="11.453125" bestFit="1" customWidth="1"/>
  </cols>
  <sheetData>
    <row r="4" spans="2:5" ht="15.6">
      <c r="B4" s="21" t="s">
        <v>15</v>
      </c>
      <c r="D4" s="21" t="s">
        <v>24</v>
      </c>
    </row>
    <row r="5" spans="2:5">
      <c r="B5" t="s">
        <v>16</v>
      </c>
      <c r="D5" t="s">
        <v>12</v>
      </c>
      <c r="E5" s="22">
        <f>PMT(_xlfn.SINGLE(loanInterestRate)/12,_xlfn.SINGLE(duration),-_xlfn.SINGLE(principle))</f>
        <v>1153.2771381062755</v>
      </c>
    </row>
    <row r="6" spans="2:5">
      <c r="B6" t="s">
        <v>17</v>
      </c>
      <c r="D6" t="s">
        <v>25</v>
      </c>
      <c r="E6" s="22">
        <f>SUMIF(amort_table_1[Status], "Paid",amort_table_1[Principle])</f>
        <v>5863.8216068620522</v>
      </c>
    </row>
    <row r="7" spans="2:5">
      <c r="D7" t="s">
        <v>26</v>
      </c>
      <c r="E7" s="22">
        <f>_xlfn.SINGLE(principle)-E6</f>
        <v>244136.17839313796</v>
      </c>
    </row>
    <row r="8" spans="2:5">
      <c r="D8" t="s">
        <v>27</v>
      </c>
      <c r="E8" s="22">
        <f>SUM(amort_table_1[Interest])</f>
        <v>95983.141431882643</v>
      </c>
    </row>
    <row r="9" spans="2:5">
      <c r="D9" t="s">
        <v>28</v>
      </c>
      <c r="E9" s="22">
        <f>SUMIF(amort_table_1[Status], "Paid",amort_table_1[Interest])</f>
        <v>5668.9497742007034</v>
      </c>
    </row>
    <row r="10" spans="2:5">
      <c r="D10" t="s">
        <v>29</v>
      </c>
      <c r="E10" s="22">
        <f>E8-E9</f>
        <v>90314.191657681935</v>
      </c>
    </row>
    <row r="11" spans="2:5">
      <c r="D11" t="s">
        <v>30</v>
      </c>
      <c r="E11" s="22">
        <f>SUM(amort_table_1[Insurance])</f>
        <v>17063.999999999909</v>
      </c>
    </row>
    <row r="12" spans="2:5">
      <c r="D12" t="s">
        <v>31</v>
      </c>
      <c r="E12" s="22">
        <f>SUMIF(amort_table_1[Status], "Paid",amort_table_1[Insurance])</f>
        <v>568.80000000000007</v>
      </c>
    </row>
    <row r="13" spans="2:5">
      <c r="D13" t="s">
        <v>32</v>
      </c>
      <c r="E13" s="22">
        <f>E11-E12</f>
        <v>16495.19999999991</v>
      </c>
    </row>
    <row r="14" spans="2:5">
      <c r="D14" t="s">
        <v>33</v>
      </c>
      <c r="E14" s="22">
        <f>_xlfn.SINGLE(principle)+E8+E11</f>
        <v>363047.14143188251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21</vt:i4>
      </vt:variant>
    </vt:vector>
  </HeadingPairs>
  <TitlesOfParts>
    <vt:vector size="27" baseType="lpstr">
      <vt:lpstr>Dashboard</vt:lpstr>
      <vt:lpstr>Assumptions</vt:lpstr>
      <vt:lpstr>Amortization Table</vt:lpstr>
      <vt:lpstr>Sensitivity Analysis</vt:lpstr>
      <vt:lpstr>Cash Flow</vt:lpstr>
      <vt:lpstr>Helper</vt:lpstr>
      <vt:lpstr>APR_TAEG</vt:lpstr>
      <vt:lpstr>discountRate</vt:lpstr>
      <vt:lpstr>duration</vt:lpstr>
      <vt:lpstr>EMI</vt:lpstr>
      <vt:lpstr>insuranceDue</vt:lpstr>
      <vt:lpstr>insurancePaid</vt:lpstr>
      <vt:lpstr>insurancePerMonth</vt:lpstr>
      <vt:lpstr>interestDue</vt:lpstr>
      <vt:lpstr>interestPaid</vt:lpstr>
      <vt:lpstr>loanDisbursementDate</vt:lpstr>
      <vt:lpstr>loanInterestRate</vt:lpstr>
      <vt:lpstr>NPV</vt:lpstr>
      <vt:lpstr>principle</vt:lpstr>
      <vt:lpstr>principleDue</vt:lpstr>
      <vt:lpstr>principlePaid</vt:lpstr>
      <vt:lpstr>projectName</vt:lpstr>
      <vt:lpstr>startDate</vt:lpstr>
      <vt:lpstr>totalInsurance</vt:lpstr>
      <vt:lpstr>totalInterestPayable</vt:lpstr>
      <vt:lpstr>totalPayback</vt:lpstr>
      <vt:lpstr>upfrontFee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prerana shirol</cp:lastModifiedBy>
  <dcterms:created xsi:type="dcterms:W3CDTF">2025-08-25T19:51:12Z</dcterms:created>
  <dcterms:modified xsi:type="dcterms:W3CDTF">2026-10-20T07:00:02Z</dcterms:modified>
</cp:coreProperties>
</file>